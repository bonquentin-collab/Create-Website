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Modèle IGS" sheetId="3" state="visible" r:id="rId5"/>
    <sheet name="Calcul individuel" sheetId="4" state="visible" r:id="rId6"/>
    <sheet name="Gain salaire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Liste : Étude 2024 ou Actualisé 2026</t>
        </r>
      </text>
    </comment>
  </commentList>
</comments>
</file>

<file path=xl/sharedStrings.xml><?xml version="1.0" encoding="utf-8"?>
<sst xmlns="http://schemas.openxmlformats.org/spreadsheetml/2006/main" count="215" uniqueCount="157">
  <si>
    <t xml:space="preserve">Chiffrage de l'espace Héritage</t>
  </si>
  <si>
    <t xml:space="preserve">La grande transmission : https://bonquentin-collab.github.io/Create-Website/</t>
  </si>
  <si>
    <t xml:space="preserve">Contenu</t>
  </si>
  <si>
    <t xml:space="preserve">Hypothèses : choix du scénario (« Étude 2024 » ou « Actualisé 2026 ») et hypothèses modifiables. Une valeur saisie dans la colonne « Votre valeur » remplace celle du scénario.</t>
  </si>
  <si>
    <t xml:space="preserve">Modèle IGS : flux successoral, droits actuels, pilier 1 et pilier 2, année par année (2021-2040), et résultats 2025-2040. Mêmes formules que le classeur de l'étude de la Fondation Jean-Jaurès (2024) et que le site.</t>
  </si>
  <si>
    <t xml:space="preserve">Calcul individuel : impôt d'un héritier en ligne directe, droit actuel contre barème de l'IGS.</t>
  </si>
  <si>
    <t xml:space="preserve">Gain salaire : ce que rapporterait à un actif une part des recettes de l'IGS (variante du site, l'étude ne la propose pas).</t>
  </si>
  <si>
    <t xml:space="preserve">Sources : références de chaque donnée.</t>
  </si>
  <si>
    <t xml:space="preserve">Vérification</t>
  </si>
  <si>
    <t xml:space="preserve">Avec les hypothèses par défaut, chaque résultat est identique à celui du site (écart &lt; 0,01 Md€ pour les recettes, &lt; 1 € pour les montants individuels).</t>
  </si>
  <si>
    <t xml:space="preserve">Limites</t>
  </si>
  <si>
    <t xml:space="preserve">L'étude mêle euros courants et croissances réelles (PIB +1 %/an sans inflation) ; la part du top 1 % du patrimoine y passe de 24 % à 35 % en 2040 ; aucun effet de comportement (exil, optimisation, étalement du paiement).</t>
  </si>
  <si>
    <t xml:space="preserve">Légende des couleurs</t>
  </si>
  <si>
    <t xml:space="preserve">Texte bleu sur fond jaune : hypothèse ou donnée d'entrée, à modifier</t>
  </si>
  <si>
    <t xml:space="preserve">Texte bleu sans fond : donnée sourcée (tableau de référence)</t>
  </si>
  <si>
    <t xml:space="preserve">Texte noir : formule</t>
  </si>
  <si>
    <t xml:space="preserve">Texte vert : formule qui reprend une valeur d'une autre feuille</t>
  </si>
  <si>
    <t xml:space="preserve">Fond vert pâle : résultat principal</t>
  </si>
  <si>
    <t xml:space="preserve">Hypothèses du chiffrage de l'IGS</t>
  </si>
  <si>
    <t xml:space="preserve">Choisissez le scénario en B4 ; saisissez une valeur en colonne D pour la remplacer.</t>
  </si>
  <si>
    <t xml:space="preserve">Scénario actif</t>
  </si>
  <si>
    <t xml:space="preserve">Actualisé 2026</t>
  </si>
  <si>
    <t xml:space="preserve">← 1 = étude, 2 = actualisé</t>
  </si>
  <si>
    <t xml:space="preserve">Hypothèse</t>
  </si>
  <si>
    <t xml:space="preserve">Étude 2024</t>
  </si>
  <si>
    <t xml:space="preserve">Votre valeur</t>
  </si>
  <si>
    <t xml:space="preserve">Valeur retenue</t>
  </si>
  <si>
    <t xml:space="preserve">Source</t>
  </si>
  <si>
    <t xml:space="preserve">Croissance annuelle du PIB (après la dernière année connue)</t>
  </si>
  <si>
    <t xml:space="preserve">Étude : +1 % par an</t>
  </si>
  <si>
    <t xml:space="preserve">Flux successoral en 2050 (part du PIB)</t>
  </si>
  <si>
    <t xml:space="preserve">CAE, note n° 63, 2021 (d'après Goupille-Lebret et al.)</t>
  </si>
  <si>
    <t xml:space="preserve">Croissance annuelle du patrimoine du top 1 %</t>
  </si>
  <si>
    <t xml:space="preserve">Garbinti, Goupille-Lebret et Piketty (2021) : 6,10 % par an en moyenne sur 2005-2014, moins 2 % d'inflation</t>
  </si>
  <si>
    <t xml:space="preserve">Part de plus-values latentes dans le patrimoine du top 1 %</t>
  </si>
  <si>
    <t xml:space="preserve">Saez et al. (2021) : 17 681 Md€ de plus-values latentes sur 42 861 Md€ de patrimoine du top 1 %</t>
  </si>
  <si>
    <t xml:space="preserve">Taux du PFU</t>
  </si>
  <si>
    <t xml:space="preserve">PFU de 30 % (2024) / PFU de 31,4 % depuis le 1er janvier 2026 (12,8 % d'impôt + 18,6 % de prélèvements sociaux, LFSS 2026)</t>
  </si>
  <si>
    <t xml:space="preserve">Flux successoral en 2021 (part du PIB)</t>
  </si>
  <si>
    <t xml:space="preserve">Année de départ du flux</t>
  </si>
  <si>
    <t xml:space="preserve">Année cible du flux</t>
  </si>
  <si>
    <t xml:space="preserve">Pilier 1 : recettes supplémentaires en 2021 (Md€)</t>
  </si>
  <si>
    <t xml:space="preserve">CAE (2021), simulation de la réforme de l'assiette et du barème, reprise par l'étude</t>
  </si>
  <si>
    <t xml:space="preserve">Part du patrimoine détenue par le top 1 % (année de référence)</t>
  </si>
  <si>
    <t xml:space="preserve">World Inequality Database, 2022</t>
  </si>
  <si>
    <t xml:space="preserve">Année de référence du patrimoine du top 1 %</t>
  </si>
  <si>
    <t xml:space="preserve">Croissance annuelle du patrimoine de l'ensemble des ménages (pour la part du top 1 %)</t>
  </si>
  <si>
    <t xml:space="preserve">4,07 % − 2 % d'inflation (étude, Banque de France)</t>
  </si>
  <si>
    <t xml:space="preserve">Part de l'assiette taxée après abattements</t>
  </si>
  <si>
    <t xml:space="preserve">Hannezo et al. (2022)</t>
  </si>
  <si>
    <t xml:space="preserve">Réduction pour droits de succession déjà payés</t>
  </si>
  <si>
    <t xml:space="preserve">CAE (2021)</t>
  </si>
  <si>
    <t xml:space="preserve">Données connues par année (au-delà : projection)</t>
  </si>
  <si>
    <t xml:space="preserve">Donnée</t>
  </si>
  <si>
    <t xml:space="preserve">Année</t>
  </si>
  <si>
    <t xml:space="preserve">PIB (Md€)</t>
  </si>
  <si>
    <t xml:space="preserve">Insee jusqu'en 2023, puis +1 % par an (étude) / Insee, Les comptes de la Nation en 2025 (Insee Première n° 2105) ; puis +1 % par an comme l'étude</t>
  </si>
  <si>
    <t xml:space="preserve">Droits de succession et donations actuels (Md€)</t>
  </si>
  <si>
    <t xml:space="preserve">20,8 Md€ en 2023, puis comme le flux successoral (étude) / Évaluation des voies et moyens, PLF 2026, tome I ; puis comme le flux successoral</t>
  </si>
  <si>
    <t xml:space="preserve">Patrimoine net des ménages (Md€)</t>
  </si>
  <si>
    <t xml:space="preserve">Banque de France, patrimoine net des ménages (étude) / Insee Première n° 2081, Le patrimoine économique national en 2024 (ménages, ISBLSM comprises)</t>
  </si>
  <si>
    <t xml:space="preserve">Mortalité du top 1 % (Insee 2021 et rapport du CPO sur les assujettis à l'ISF)</t>
  </si>
  <si>
    <t xml:space="preserve">Taux de mortalité</t>
  </si>
  <si>
    <t xml:space="preserve">Modèle de chiffrage de l'IGS, année par année</t>
  </si>
  <si>
    <t xml:space="preserve">Md€. Formules du classeur de l'étude ; données connues lues dans « Hypothèses » selon le scénario actif.</t>
  </si>
  <si>
    <t xml:space="preserve">Résultats 2025-2040</t>
  </si>
  <si>
    <t xml:space="preserve">Part du top 1 % en 2040</t>
  </si>
  <si>
    <t xml:space="preserve">Recettes supplémentaires en 2025</t>
  </si>
  <si>
    <t xml:space="preserve">Cumul 2025-2040</t>
  </si>
  <si>
    <t xml:space="preserve">dont pilier 1</t>
  </si>
  <si>
    <t xml:space="preserve">dont pilier 2</t>
  </si>
  <si>
    <t xml:space="preserve">Moyenne annuelle</t>
  </si>
  <si>
    <t xml:space="preserve">Flux successoral cumulé 2025-2040</t>
  </si>
  <si>
    <t xml:space="preserve">Taux effectif 2025 : aujourd'hui → avec la réforme</t>
  </si>
  <si>
    <t xml:space="preserve">PIB</t>
  </si>
  <si>
    <t xml:space="preserve">Part du PIB transmise</t>
  </si>
  <si>
    <t xml:space="preserve">Flux successoral</t>
  </si>
  <si>
    <t xml:space="preserve">DMTG actuels</t>
  </si>
  <si>
    <t xml:space="preserve">Pilier 1</t>
  </si>
  <si>
    <t xml:space="preserve">Patrimoine des ménages</t>
  </si>
  <si>
    <t xml:space="preserve">Patrimoine du top 1 %</t>
  </si>
  <si>
    <t xml:space="preserve">Part du top 1 %</t>
  </si>
  <si>
    <t xml:space="preserve">Mortalité</t>
  </si>
  <si>
    <t xml:space="preserve">Assiette plus-values</t>
  </si>
  <si>
    <t xml:space="preserve">Pilier 2</t>
  </si>
  <si>
    <t xml:space="preserve">Recettes IGS (P1+P2)</t>
  </si>
  <si>
    <t xml:space="preserve">DMTG avec réforme</t>
  </si>
  <si>
    <t xml:space="preserve">Impôt d'un héritier en ligne directe : droit actuel et IGS</t>
  </si>
  <si>
    <t xml:space="preserve">Saisissez la situation en jaune. Barèmes 2024 (CGI art. 777, 779, 990 I) et barème de l'étude (CAE 2021).</t>
  </si>
  <si>
    <t xml:space="preserve">Calcul</t>
  </si>
  <si>
    <t xml:space="preserve">Patrimoine reçu, hors assurance-vie (€)</t>
  </si>
  <si>
    <t xml:space="preserve">Part reçue de chaque parent (€)</t>
  </si>
  <si>
    <t xml:space="preserve">Dont assurance-vie reçue, primes versées avant 70 ans (€)</t>
  </si>
  <si>
    <t xml:space="preserve">Base taxable par parent (€)</t>
  </si>
  <si>
    <t xml:space="preserve">Nombre de parents dont on hérite (1 ou 2)</t>
  </si>
  <si>
    <t xml:space="preserve">Droits de succession, total (€)</t>
  </si>
  <si>
    <t xml:space="preserve">Plus-values latentes comprises dans le patrimoine (€)</t>
  </si>
  <si>
    <t xml:space="preserve">Assurance-vie reçue de chaque parent (€)</t>
  </si>
  <si>
    <t xml:space="preserve">Base taxable assurance-vie par parent (€)</t>
  </si>
  <si>
    <t xml:space="preserve">Abattement par enfant et par parent (€)</t>
  </si>
  <si>
    <t xml:space="preserve">Prélèvement assurance-vie, total (€)</t>
  </si>
  <si>
    <t xml:space="preserve">Abattement assurance-vie par bénéficiaire et par assuré (€)</t>
  </si>
  <si>
    <t xml:space="preserve">Droit actuel : impôt total (€)</t>
  </si>
  <si>
    <t xml:space="preserve">PFU sur les plus-values latentes (IGS, taux de l'étude)</t>
  </si>
  <si>
    <t xml:space="preserve">Somme reçue (€)</t>
  </si>
  <si>
    <t xml:space="preserve">IGS : impôt sur les sommes reçues (€)</t>
  </si>
  <si>
    <t xml:space="preserve">Barème en ligne directe (droit actuel)</t>
  </si>
  <si>
    <t xml:space="preserve">IGS : PFU sur les plus-values latentes (€)</t>
  </si>
  <si>
    <t xml:space="preserve">Tranche de</t>
  </si>
  <si>
    <t xml:space="preserve">à</t>
  </si>
  <si>
    <t xml:space="preserve">Taux</t>
  </si>
  <si>
    <t xml:space="preserve">IGS : impôt total (€)</t>
  </si>
  <si>
    <t xml:space="preserve">Écart IGS − droit actuel (€)</t>
  </si>
  <si>
    <t xml:space="preserve">Taux moyen, droit actuel</t>
  </si>
  <si>
    <t xml:space="preserve">Taux moyen, IGS</t>
  </si>
  <si>
    <t xml:space="preserve">Hypothèses : héritage en ligne directe, sans donation antérieure ; chaque parent transmet la moitié quand on hérite des deux.</t>
  </si>
  <si>
    <t xml:space="preserve">Assurance-vie, art. 990 I (droit actuel)</t>
  </si>
  <si>
    <t xml:space="preserve">Barème de l'IGS, sur toutes les sommes reçues dans la vie</t>
  </si>
  <si>
    <t xml:space="preserve">Ce que rapporterait à un actif une part des recettes de l'IGS</t>
  </si>
  <si>
    <t xml:space="preserve">Variante du site : l'étude affecte les recettes à l'investissement public, pas aux ménages.</t>
  </si>
  <si>
    <t xml:space="preserve">Année (« Moyenne » ou 2025 à 2040)</t>
  </si>
  <si>
    <t xml:space="preserve">Moyenne</t>
  </si>
  <si>
    <t xml:space="preserve">Part des recettes versée aux actifs</t>
  </si>
  <si>
    <t xml:space="preserve">Votre salaire net mensuel (€)</t>
  </si>
  <si>
    <t xml:space="preserve">Personnes en emploi</t>
  </si>
  <si>
    <t xml:space="preserve">Insee, Emploi, chômage, revenus du travail, édition 2025 : 30,4 millions de personnes en emploi fin 2024</t>
  </si>
  <si>
    <t xml:space="preserve">Masse salariale brute (€)</t>
  </si>
  <si>
    <t xml:space="preserve">Insee, Comptes de la Nation 2024, tableau 6.205 (salaires et traitements bruts, total branches)</t>
  </si>
  <si>
    <t xml:space="preserve">Ratio salaire net / brut</t>
  </si>
  <si>
    <t xml:space="preserve">Hypothèse du simulateur : environ 22 % de cotisations et contributions salariales</t>
  </si>
  <si>
    <t xml:space="preserve">Recettes de l'IGS cette année-là (Md€)</t>
  </si>
  <si>
    <t xml:space="preserve">Versé aux actifs (Md€)</t>
  </si>
  <si>
    <t xml:space="preserve">Un montant égal pour chaque actif : gain mensuel (€)</t>
  </si>
  <si>
    <t xml:space="preserve">Une baisse des cotisations salariales : gain mensuel (€)</t>
  </si>
  <si>
    <t xml:space="preserve">Sources</t>
  </si>
  <si>
    <t xml:space="preserve">Lien</t>
  </si>
  <si>
    <t xml:space="preserve">Étude et classeur de chiffrage</t>
  </si>
  <si>
    <t xml:space="preserve">Fondation Jean-Jaurès, « Face à la grande transmission, l'impôt sur les grandes successions » (Ouizille, Iberrakene, Julien-Vauzelle), novembre 2024</t>
  </si>
  <si>
    <t xml:space="preserve">https://www.jean-jaures.org/publication/face-a-la-grande-transmission-limpot-sur-les-grandes-successions/</t>
  </si>
  <si>
    <t xml:space="preserve">PIB 2025</t>
  </si>
  <si>
    <t xml:space="preserve">Insee, Les comptes de la Nation en 2025 (Insee Première n° 2105) ; puis +1 % par an comme l'étude</t>
  </si>
  <si>
    <t xml:space="preserve">https://www.insee.fr/fr/statistiques/8996855</t>
  </si>
  <si>
    <t xml:space="preserve">Droits de succession et donations 2024-2026</t>
  </si>
  <si>
    <t xml:space="preserve">Évaluation des voies et moyens, PLF 2026, tome I ; puis comme le flux successoral</t>
  </si>
  <si>
    <t xml:space="preserve">https://www.assemblee-nationale.fr/dyn/contenu/visualisation/1087930/file/PLF%202026%20-%20V%26M%20TI%20-%20Evaluations%20des%20recettes.pdf</t>
  </si>
  <si>
    <t xml:space="preserve">Patrimoine des ménages 2024</t>
  </si>
  <si>
    <t xml:space="preserve">Insee Première n° 2081, Le patrimoine économique national en 2024 (ménages, ISBLSM comprises)</t>
  </si>
  <si>
    <t xml:space="preserve">https://www.insee.fr/fr/statistiques/8661938</t>
  </si>
  <si>
    <t xml:space="preserve">PFU 2026</t>
  </si>
  <si>
    <t xml:space="preserve">PFU de 31,4 % depuis le 1er janvier 2026 (12,8 % d'impôt + 18,6 % de prélèvements sociaux, LFSS 2026)</t>
  </si>
  <si>
    <t xml:space="preserve">Croissance du patrimoine du top 1 %</t>
  </si>
  <si>
    <t xml:space="preserve">Plus-values latentes</t>
  </si>
  <si>
    <t xml:space="preserve">Barèmes du droit actuel</t>
  </si>
  <si>
    <t xml:space="preserve">Code général des impôts, art. 777, 779 et 990 I (montants 2024)</t>
  </si>
  <si>
    <t xml:space="preserve">Emploi, salaires</t>
  </si>
  <si>
    <t xml:space="preserve">Insee, Emploi, chômage, revenus du travail, édition 2025 : 30,4 millions de personnes en emploi fin 2024 ; Insee, Comptes de la Nation 2024, tableau 6.205 (salaires et traitements bruts, total branches)</t>
  </si>
  <si>
    <t xml:space="preserve">https://www.insee.fr/fr/statistiques/8574681?sommaire=8574832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</si>
</sst>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;\-0.0%;\-"/>
    <numFmt numFmtId="166" formatCode="0.00%;\-0.00%;\-"/>
    <numFmt numFmtId="167" formatCode="0"/>
    <numFmt numFmtId="168" formatCode="#,##0.0&quot; Md€&quot;;\-#,##0.0&quot; Md€&quot;;\-"/>
    <numFmt numFmtId="169" formatCode="#,##0.0;\-#,##0.0;\-"/>
    <numFmt numFmtId="170" formatCode="#,##0.00&quot; Md€&quot;;\-#,##0.00&quot; Md€&quot;;\-"/>
    <numFmt numFmtId="171" formatCode="#,##0&quot; Md€&quot;"/>
    <numFmt numFmtId="172" formatCode="0.000;\-0.000;\-"/>
    <numFmt numFmtId="173" formatCode="#,##0&quot; €&quot;;\-#,##0&quot; €&quot;;\-"/>
    <numFmt numFmtId="174" formatCode="#,##0;\-#,##0;\-"/>
    <numFmt numFmtId="175" formatCode="#,##0"/>
    <numFmt numFmtId="176" formatCode="#,##0.00&quot; €&quot;;\-#,##0.00&quot; €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0E4"/>
        <bgColor rgb="FFFFFFFF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0E4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jean-jaures.org/publication/face-a-la-grande-transmission-limpot-sur-les-grandes-successions/" TargetMode="External"/><Relationship Id="rId2" Type="http://schemas.openxmlformats.org/officeDocument/2006/relationships/hyperlink" Target="https://www.insee.fr/fr/statistiques/8996855" TargetMode="External"/><Relationship Id="rId3" Type="http://schemas.openxmlformats.org/officeDocument/2006/relationships/hyperlink" Target="https://www.assemblee-nationale.fr/dyn/contenu/visualisation/1087930/file/PLF%202026%20-%20V%26M%20TI%20-%20Evaluations%20des%20recettes.pdf" TargetMode="External"/><Relationship Id="rId4" Type="http://schemas.openxmlformats.org/officeDocument/2006/relationships/hyperlink" Target="https://www.insee.fr/fr/statistiques/8661938" TargetMode="External"/><Relationship Id="rId5" Type="http://schemas.openxmlformats.org/officeDocument/2006/relationships/hyperlink" Target="https://www.insee.fr/fr/statistiques/8574681?sommaire=857483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3" t="s">
        <v>10</v>
      </c>
    </row>
    <row r="13" customFormat="false" ht="23.85" hidden="false" customHeight="false" outlineLevel="0" collapsed="false">
      <c r="A13" s="4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6" t="s">
        <v>14</v>
      </c>
    </row>
    <row r="18" customFormat="false" ht="15" hidden="false" customHeight="false" outlineLevel="0" collapsed="false">
      <c r="A18" s="7" t="s">
        <v>15</v>
      </c>
    </row>
    <row r="19" customFormat="false" ht="15" hidden="false" customHeight="false" outlineLevel="0" collapsed="false">
      <c r="A19" s="8" t="s">
        <v>16</v>
      </c>
    </row>
    <row r="20" customFormat="false" ht="15" hidden="false" customHeight="false" outlineLevel="0" collapsed="false">
      <c r="A20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3" t="s">
        <v>20</v>
      </c>
      <c r="B4" s="5" t="s">
        <v>21</v>
      </c>
      <c r="C4" s="7" t="n">
        <f aca="false">IF(B4="Étude 2024",1,2)</f>
        <v>2</v>
      </c>
      <c r="D4" s="2" t="s">
        <v>22</v>
      </c>
    </row>
    <row r="6" customFormat="false" ht="15" hidden="false" customHeight="false" outlineLevel="0" collapsed="false">
      <c r="A6" s="10" t="s">
        <v>23</v>
      </c>
      <c r="B6" s="10" t="s">
        <v>24</v>
      </c>
      <c r="C6" s="10" t="s">
        <v>21</v>
      </c>
      <c r="D6" s="10" t="s">
        <v>25</v>
      </c>
      <c r="E6" s="10" t="s">
        <v>26</v>
      </c>
      <c r="F6" s="10" t="s">
        <v>27</v>
      </c>
    </row>
    <row r="7" customFormat="false" ht="15" hidden="false" customHeight="false" outlineLevel="0" collapsed="false">
      <c r="A7" s="4" t="s">
        <v>28</v>
      </c>
      <c r="B7" s="11" t="n">
        <v>0.01</v>
      </c>
      <c r="C7" s="11" t="n">
        <v>0.01</v>
      </c>
      <c r="D7" s="12"/>
      <c r="E7" s="13" t="n">
        <f aca="false">IF(ISBLANK(D7),IF($C$4=1,B7,C7),D7)</f>
        <v>0.01</v>
      </c>
      <c r="F7" s="4" t="s">
        <v>29</v>
      </c>
    </row>
    <row r="8" customFormat="false" ht="15" hidden="false" customHeight="false" outlineLevel="0" collapsed="false">
      <c r="A8" s="4" t="s">
        <v>30</v>
      </c>
      <c r="B8" s="11" t="n">
        <v>0.23</v>
      </c>
      <c r="C8" s="11" t="n">
        <v>0.23</v>
      </c>
      <c r="D8" s="12"/>
      <c r="E8" s="13" t="n">
        <f aca="false">IF(ISBLANK(D8),IF($C$4=1,B8,C8),D8)</f>
        <v>0.23</v>
      </c>
      <c r="F8" s="4" t="s">
        <v>31</v>
      </c>
    </row>
    <row r="9" customFormat="false" ht="15" hidden="false" customHeight="false" outlineLevel="0" collapsed="false">
      <c r="A9" s="4" t="s">
        <v>32</v>
      </c>
      <c r="B9" s="14" t="n">
        <v>0.041</v>
      </c>
      <c r="C9" s="14" t="n">
        <v>0.041</v>
      </c>
      <c r="D9" s="15"/>
      <c r="E9" s="16" t="n">
        <f aca="false">IF(ISBLANK(D9),IF($C$4=1,B9,C9),D9)</f>
        <v>0.041</v>
      </c>
      <c r="F9" s="4" t="s">
        <v>33</v>
      </c>
    </row>
    <row r="10" customFormat="false" ht="15" hidden="false" customHeight="false" outlineLevel="0" collapsed="false">
      <c r="A10" s="4" t="s">
        <v>34</v>
      </c>
      <c r="B10" s="14" t="n">
        <v>0.412519539908075</v>
      </c>
      <c r="C10" s="14" t="n">
        <v>0.412519539908075</v>
      </c>
      <c r="D10" s="15"/>
      <c r="E10" s="16" t="n">
        <f aca="false">IF(ISBLANK(D10),IF($C$4=1,B10,C10),D10)</f>
        <v>0.412519539908075</v>
      </c>
      <c r="F10" s="4" t="s">
        <v>35</v>
      </c>
    </row>
    <row r="11" customFormat="false" ht="23.85" hidden="false" customHeight="false" outlineLevel="0" collapsed="false">
      <c r="A11" s="4" t="s">
        <v>36</v>
      </c>
      <c r="B11" s="11" t="n">
        <v>0.3</v>
      </c>
      <c r="C11" s="11" t="n">
        <v>0.314</v>
      </c>
      <c r="D11" s="12"/>
      <c r="E11" s="13" t="n">
        <f aca="false">IF(ISBLANK(D11),IF($C$4=1,B11,C11),D11)</f>
        <v>0.314</v>
      </c>
      <c r="F11" s="4" t="s">
        <v>37</v>
      </c>
    </row>
    <row r="12" customFormat="false" ht="15" hidden="false" customHeight="false" outlineLevel="0" collapsed="false">
      <c r="A12" s="4" t="s">
        <v>38</v>
      </c>
      <c r="B12" s="11" t="n">
        <v>0.15</v>
      </c>
      <c r="C12" s="11" t="n">
        <v>0.15</v>
      </c>
      <c r="D12" s="12"/>
      <c r="E12" s="13" t="n">
        <f aca="false">IF(ISBLANK(D12),IF($C$4=1,B12,C12),D12)</f>
        <v>0.15</v>
      </c>
      <c r="F12" s="4" t="s">
        <v>31</v>
      </c>
    </row>
    <row r="13" customFormat="false" ht="15" hidden="false" customHeight="false" outlineLevel="0" collapsed="false">
      <c r="A13" s="4" t="s">
        <v>39</v>
      </c>
      <c r="B13" s="17" t="n">
        <v>2021</v>
      </c>
      <c r="C13" s="17" t="n">
        <v>2021</v>
      </c>
      <c r="D13" s="18"/>
      <c r="E13" s="19" t="n">
        <f aca="false">IF(ISBLANK(D13),IF($C$4=1,B13,C13),D13)</f>
        <v>2021</v>
      </c>
      <c r="F13" s="4"/>
    </row>
    <row r="14" customFormat="false" ht="15" hidden="false" customHeight="false" outlineLevel="0" collapsed="false">
      <c r="A14" s="4" t="s">
        <v>40</v>
      </c>
      <c r="B14" s="17" t="n">
        <v>2050</v>
      </c>
      <c r="C14" s="17" t="n">
        <v>2050</v>
      </c>
      <c r="D14" s="18"/>
      <c r="E14" s="19" t="n">
        <f aca="false">IF(ISBLANK(D14),IF($C$4=1,B14,C14),D14)</f>
        <v>2050</v>
      </c>
      <c r="F14" s="4"/>
    </row>
    <row r="15" customFormat="false" ht="15" hidden="false" customHeight="false" outlineLevel="0" collapsed="false">
      <c r="A15" s="4" t="s">
        <v>41</v>
      </c>
      <c r="B15" s="20" t="n">
        <v>10</v>
      </c>
      <c r="C15" s="20" t="n">
        <v>10</v>
      </c>
      <c r="D15" s="21"/>
      <c r="E15" s="22" t="n">
        <f aca="false">IF(ISBLANK(D15),IF($C$4=1,B15,C15),D15)</f>
        <v>10</v>
      </c>
      <c r="F15" s="4" t="s">
        <v>42</v>
      </c>
    </row>
    <row r="16" customFormat="false" ht="15" hidden="false" customHeight="false" outlineLevel="0" collapsed="false">
      <c r="A16" s="4" t="s">
        <v>43</v>
      </c>
      <c r="B16" s="11" t="n">
        <v>0.24</v>
      </c>
      <c r="C16" s="11" t="n">
        <v>0.24</v>
      </c>
      <c r="D16" s="12"/>
      <c r="E16" s="13" t="n">
        <f aca="false">IF(ISBLANK(D16),IF($C$4=1,B16,C16),D16)</f>
        <v>0.24</v>
      </c>
      <c r="F16" s="4" t="s">
        <v>44</v>
      </c>
    </row>
    <row r="17" customFormat="false" ht="15" hidden="false" customHeight="false" outlineLevel="0" collapsed="false">
      <c r="A17" s="4" t="s">
        <v>45</v>
      </c>
      <c r="B17" s="17" t="n">
        <v>2022</v>
      </c>
      <c r="C17" s="17" t="n">
        <v>2022</v>
      </c>
      <c r="D17" s="18"/>
      <c r="E17" s="19" t="n">
        <f aca="false">IF(ISBLANK(D17),IF($C$4=1,B17,C17),D17)</f>
        <v>2022</v>
      </c>
      <c r="F17" s="4"/>
    </row>
    <row r="18" customFormat="false" ht="23.85" hidden="false" customHeight="false" outlineLevel="0" collapsed="false">
      <c r="A18" s="4" t="s">
        <v>46</v>
      </c>
      <c r="B18" s="14" t="n">
        <v>0.0207</v>
      </c>
      <c r="C18" s="14" t="n">
        <v>0.0207</v>
      </c>
      <c r="D18" s="15"/>
      <c r="E18" s="16" t="n">
        <f aca="false">IF(ISBLANK(D18),IF($C$4=1,B18,C18),D18)</f>
        <v>0.0207</v>
      </c>
      <c r="F18" s="4" t="s">
        <v>47</v>
      </c>
    </row>
    <row r="19" customFormat="false" ht="15" hidden="false" customHeight="false" outlineLevel="0" collapsed="false">
      <c r="A19" s="4" t="s">
        <v>48</v>
      </c>
      <c r="B19" s="11" t="n">
        <v>0.8</v>
      </c>
      <c r="C19" s="11" t="n">
        <v>0.8</v>
      </c>
      <c r="D19" s="12"/>
      <c r="E19" s="13" t="n">
        <f aca="false">IF(ISBLANK(D19),IF($C$4=1,B19,C19),D19)</f>
        <v>0.8</v>
      </c>
      <c r="F19" s="4" t="s">
        <v>49</v>
      </c>
    </row>
    <row r="20" customFormat="false" ht="15" hidden="false" customHeight="false" outlineLevel="0" collapsed="false">
      <c r="A20" s="4" t="s">
        <v>50</v>
      </c>
      <c r="B20" s="11" t="n">
        <v>0.2</v>
      </c>
      <c r="C20" s="11" t="n">
        <v>0.2</v>
      </c>
      <c r="D20" s="12"/>
      <c r="E20" s="13" t="n">
        <f aca="false">IF(ISBLANK(D20),IF($C$4=1,B20,C20),D20)</f>
        <v>0.2</v>
      </c>
      <c r="F20" s="4" t="s">
        <v>51</v>
      </c>
    </row>
    <row r="22" customFormat="false" ht="15" hidden="false" customHeight="false" outlineLevel="0" collapsed="false">
      <c r="A22" s="3" t="s">
        <v>52</v>
      </c>
    </row>
    <row r="23" customFormat="false" ht="15" hidden="false" customHeight="false" outlineLevel="0" collapsed="false">
      <c r="A23" s="10" t="s">
        <v>53</v>
      </c>
      <c r="B23" s="10" t="s">
        <v>54</v>
      </c>
      <c r="C23" s="10" t="s">
        <v>24</v>
      </c>
      <c r="D23" s="10" t="s">
        <v>21</v>
      </c>
      <c r="E23" s="10"/>
      <c r="F23" s="10" t="s">
        <v>27</v>
      </c>
    </row>
    <row r="24" customFormat="false" ht="23.85" hidden="false" customHeight="false" outlineLevel="0" collapsed="false">
      <c r="A24" s="7" t="s">
        <v>55</v>
      </c>
      <c r="B24" s="17" t="n">
        <v>2021</v>
      </c>
      <c r="C24" s="23" t="n">
        <v>2508.1023</v>
      </c>
      <c r="D24" s="23" t="n">
        <v>2508.1023</v>
      </c>
      <c r="F24" s="4" t="s">
        <v>56</v>
      </c>
    </row>
    <row r="25" customFormat="false" ht="23.85" hidden="false" customHeight="false" outlineLevel="0" collapsed="false">
      <c r="A25" s="7" t="s">
        <v>55</v>
      </c>
      <c r="B25" s="17" t="n">
        <v>2022</v>
      </c>
      <c r="C25" s="23" t="n">
        <v>2655.435</v>
      </c>
      <c r="D25" s="23" t="n">
        <v>2655.435</v>
      </c>
      <c r="F25" s="4" t="s">
        <v>56</v>
      </c>
    </row>
    <row r="26" customFormat="false" ht="23.85" hidden="false" customHeight="false" outlineLevel="0" collapsed="false">
      <c r="A26" s="7" t="s">
        <v>55</v>
      </c>
      <c r="B26" s="17" t="n">
        <v>2023</v>
      </c>
      <c r="C26" s="23" t="n">
        <v>2822.5</v>
      </c>
      <c r="D26" s="23" t="n">
        <v>2822.5</v>
      </c>
      <c r="F26" s="4" t="s">
        <v>56</v>
      </c>
    </row>
    <row r="27" customFormat="false" ht="23.85" hidden="false" customHeight="false" outlineLevel="0" collapsed="false">
      <c r="A27" s="7" t="s">
        <v>55</v>
      </c>
      <c r="B27" s="17" t="n">
        <v>2024</v>
      </c>
      <c r="D27" s="23" t="n">
        <v>2935.32875368008</v>
      </c>
      <c r="F27" s="4" t="s">
        <v>56</v>
      </c>
    </row>
    <row r="28" customFormat="false" ht="23.85" hidden="false" customHeight="false" outlineLevel="0" collapsed="false">
      <c r="A28" s="7" t="s">
        <v>55</v>
      </c>
      <c r="B28" s="17" t="n">
        <v>2025</v>
      </c>
      <c r="D28" s="23" t="n">
        <v>2991.1</v>
      </c>
      <c r="F28" s="4" t="s">
        <v>56</v>
      </c>
    </row>
    <row r="29" customFormat="false" ht="23.85" hidden="false" customHeight="false" outlineLevel="0" collapsed="false">
      <c r="A29" s="7" t="s">
        <v>57</v>
      </c>
      <c r="B29" s="17" t="n">
        <v>2021</v>
      </c>
      <c r="C29" s="23" t="n">
        <v>18.7</v>
      </c>
      <c r="D29" s="23" t="n">
        <v>18.7</v>
      </c>
      <c r="F29" s="4" t="s">
        <v>58</v>
      </c>
    </row>
    <row r="30" customFormat="false" ht="23.85" hidden="false" customHeight="false" outlineLevel="0" collapsed="false">
      <c r="A30" s="7" t="s">
        <v>57</v>
      </c>
      <c r="B30" s="17" t="n">
        <v>2022</v>
      </c>
      <c r="C30" s="23" t="n">
        <v>18.7</v>
      </c>
      <c r="D30" s="23" t="n">
        <v>18.7</v>
      </c>
      <c r="F30" s="4" t="s">
        <v>58</v>
      </c>
    </row>
    <row r="31" customFormat="false" ht="23.85" hidden="false" customHeight="false" outlineLevel="0" collapsed="false">
      <c r="A31" s="7" t="s">
        <v>57</v>
      </c>
      <c r="B31" s="17" t="n">
        <v>2023</v>
      </c>
      <c r="C31" s="23" t="n">
        <v>20.8</v>
      </c>
      <c r="D31" s="23" t="n">
        <v>20.8</v>
      </c>
      <c r="F31" s="4" t="s">
        <v>58</v>
      </c>
    </row>
    <row r="32" customFormat="false" ht="23.85" hidden="false" customHeight="false" outlineLevel="0" collapsed="false">
      <c r="A32" s="7" t="s">
        <v>57</v>
      </c>
      <c r="B32" s="17" t="n">
        <v>2024</v>
      </c>
      <c r="D32" s="23" t="n">
        <v>20.9</v>
      </c>
      <c r="F32" s="4" t="s">
        <v>58</v>
      </c>
    </row>
    <row r="33" customFormat="false" ht="23.85" hidden="false" customHeight="false" outlineLevel="0" collapsed="false">
      <c r="A33" s="7" t="s">
        <v>57</v>
      </c>
      <c r="B33" s="17" t="n">
        <v>2025</v>
      </c>
      <c r="D33" s="23" t="n">
        <v>20.7</v>
      </c>
      <c r="F33" s="4" t="s">
        <v>58</v>
      </c>
    </row>
    <row r="34" customFormat="false" ht="23.85" hidden="false" customHeight="false" outlineLevel="0" collapsed="false">
      <c r="A34" s="7" t="s">
        <v>57</v>
      </c>
      <c r="B34" s="17" t="n">
        <v>2026</v>
      </c>
      <c r="D34" s="23" t="n">
        <v>21.4</v>
      </c>
      <c r="F34" s="4" t="s">
        <v>58</v>
      </c>
    </row>
    <row r="35" customFormat="false" ht="23.85" hidden="false" customHeight="false" outlineLevel="0" collapsed="false">
      <c r="A35" s="7" t="s">
        <v>59</v>
      </c>
      <c r="B35" s="17" t="n">
        <v>2022</v>
      </c>
      <c r="C35" s="23" t="n">
        <v>13837.63065</v>
      </c>
      <c r="D35" s="23" t="n">
        <v>14760.4936419221</v>
      </c>
      <c r="F35" s="4" t="s">
        <v>60</v>
      </c>
    </row>
    <row r="36" customFormat="false" ht="23.85" hidden="false" customHeight="false" outlineLevel="0" collapsed="false">
      <c r="A36" s="7" t="s">
        <v>59</v>
      </c>
      <c r="B36" s="17" t="n">
        <v>2023</v>
      </c>
      <c r="C36" s="23" t="n">
        <v>13642.86636</v>
      </c>
      <c r="D36" s="23" t="n">
        <v>14849.0566037736</v>
      </c>
      <c r="F36" s="4" t="s">
        <v>60</v>
      </c>
    </row>
    <row r="37" customFormat="false" ht="23.85" hidden="false" customHeight="false" outlineLevel="0" collapsed="false">
      <c r="A37" s="7" t="s">
        <v>59</v>
      </c>
      <c r="B37" s="17" t="n">
        <v>2024</v>
      </c>
      <c r="D37" s="23" t="n">
        <v>14953</v>
      </c>
      <c r="F37" s="4" t="s">
        <v>60</v>
      </c>
    </row>
    <row r="39" customFormat="false" ht="15" hidden="false" customHeight="false" outlineLevel="0" collapsed="false">
      <c r="A39" s="3" t="s">
        <v>61</v>
      </c>
    </row>
    <row r="40" customFormat="false" ht="15" hidden="false" customHeight="false" outlineLevel="0" collapsed="false">
      <c r="A40" s="7" t="s">
        <v>62</v>
      </c>
      <c r="B40" s="17" t="n">
        <v>2025</v>
      </c>
      <c r="C40" s="15" t="n">
        <v>0.0223</v>
      </c>
    </row>
    <row r="41" customFormat="false" ht="15" hidden="false" customHeight="false" outlineLevel="0" collapsed="false">
      <c r="A41" s="7" t="s">
        <v>62</v>
      </c>
      <c r="B41" s="17" t="n">
        <v>2026</v>
      </c>
      <c r="C41" s="15" t="n">
        <v>0.0225</v>
      </c>
    </row>
    <row r="42" customFormat="false" ht="15" hidden="false" customHeight="false" outlineLevel="0" collapsed="false">
      <c r="A42" s="7" t="s">
        <v>62</v>
      </c>
      <c r="B42" s="17" t="n">
        <v>2027</v>
      </c>
      <c r="C42" s="15" t="n">
        <v>0.0227</v>
      </c>
    </row>
    <row r="43" customFormat="false" ht="15" hidden="false" customHeight="false" outlineLevel="0" collapsed="false">
      <c r="A43" s="7" t="s">
        <v>62</v>
      </c>
      <c r="B43" s="17" t="n">
        <v>2028</v>
      </c>
      <c r="C43" s="15" t="n">
        <v>0.0229</v>
      </c>
    </row>
    <row r="44" customFormat="false" ht="15" hidden="false" customHeight="false" outlineLevel="0" collapsed="false">
      <c r="A44" s="7" t="s">
        <v>62</v>
      </c>
      <c r="B44" s="17" t="n">
        <v>2029</v>
      </c>
      <c r="C44" s="15" t="n">
        <v>0.0231</v>
      </c>
    </row>
    <row r="45" customFormat="false" ht="15" hidden="false" customHeight="false" outlineLevel="0" collapsed="false">
      <c r="A45" s="7" t="s">
        <v>62</v>
      </c>
      <c r="B45" s="17" t="n">
        <v>2030</v>
      </c>
      <c r="C45" s="15" t="n">
        <v>0.0233</v>
      </c>
    </row>
    <row r="46" customFormat="false" ht="15" hidden="false" customHeight="false" outlineLevel="0" collapsed="false">
      <c r="A46" s="7" t="s">
        <v>62</v>
      </c>
      <c r="B46" s="17" t="n">
        <v>2031</v>
      </c>
      <c r="C46" s="15" t="n">
        <v>0.0235</v>
      </c>
    </row>
    <row r="47" customFormat="false" ht="15" hidden="false" customHeight="false" outlineLevel="0" collapsed="false">
      <c r="A47" s="7" t="s">
        <v>62</v>
      </c>
      <c r="B47" s="17" t="n">
        <v>2032</v>
      </c>
      <c r="C47" s="15" t="n">
        <v>0.0238</v>
      </c>
    </row>
    <row r="48" customFormat="false" ht="15" hidden="false" customHeight="false" outlineLevel="0" collapsed="false">
      <c r="A48" s="7" t="s">
        <v>62</v>
      </c>
      <c r="B48" s="17" t="n">
        <v>2033</v>
      </c>
      <c r="C48" s="15" t="n">
        <v>0.0241</v>
      </c>
    </row>
    <row r="49" customFormat="false" ht="15" hidden="false" customHeight="false" outlineLevel="0" collapsed="false">
      <c r="A49" s="7" t="s">
        <v>62</v>
      </c>
      <c r="B49" s="17" t="n">
        <v>2034</v>
      </c>
      <c r="C49" s="15" t="n">
        <v>0.0244</v>
      </c>
    </row>
    <row r="50" customFormat="false" ht="15" hidden="false" customHeight="false" outlineLevel="0" collapsed="false">
      <c r="A50" s="7" t="s">
        <v>62</v>
      </c>
      <c r="B50" s="17" t="n">
        <v>2035</v>
      </c>
      <c r="C50" s="15" t="n">
        <v>0.0247</v>
      </c>
    </row>
    <row r="51" customFormat="false" ht="15" hidden="false" customHeight="false" outlineLevel="0" collapsed="false">
      <c r="A51" s="7" t="s">
        <v>62</v>
      </c>
      <c r="B51" s="17" t="n">
        <v>2036</v>
      </c>
      <c r="C51" s="15" t="n">
        <v>0.025</v>
      </c>
    </row>
    <row r="52" customFormat="false" ht="15" hidden="false" customHeight="false" outlineLevel="0" collapsed="false">
      <c r="A52" s="7" t="s">
        <v>62</v>
      </c>
      <c r="B52" s="17" t="n">
        <v>2037</v>
      </c>
      <c r="C52" s="15" t="n">
        <v>0.0253</v>
      </c>
    </row>
    <row r="53" customFormat="false" ht="15" hidden="false" customHeight="false" outlineLevel="0" collapsed="false">
      <c r="A53" s="7" t="s">
        <v>62</v>
      </c>
      <c r="B53" s="17" t="n">
        <v>2038</v>
      </c>
      <c r="C53" s="15" t="n">
        <v>0.0257</v>
      </c>
    </row>
    <row r="54" customFormat="false" ht="15" hidden="false" customHeight="false" outlineLevel="0" collapsed="false">
      <c r="A54" s="7" t="s">
        <v>62</v>
      </c>
      <c r="B54" s="17" t="n">
        <v>2039</v>
      </c>
      <c r="C54" s="15" t="n">
        <v>0.026</v>
      </c>
    </row>
    <row r="55" customFormat="false" ht="15" hidden="false" customHeight="false" outlineLevel="0" collapsed="false">
      <c r="A55" s="7" t="s">
        <v>62</v>
      </c>
      <c r="B55" s="17" t="n">
        <v>2040</v>
      </c>
      <c r="C55" s="15" t="n">
        <v>0.0263</v>
      </c>
    </row>
  </sheetData>
  <dataValidations count="1">
    <dataValidation allowBlank="false" errorStyle="stop" operator="between" showDropDown="false" showErrorMessage="false" showInputMessage="false" sqref="B4" type="list">
      <formula1>"Étude 2024,Actualisé 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5" min="13" style="0" width="12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3" t="s">
        <v>65</v>
      </c>
    </row>
    <row r="5" customFormat="false" ht="15" hidden="false" customHeight="false" outlineLevel="0" collapsed="false">
      <c r="A5" s="24" t="s">
        <v>20</v>
      </c>
      <c r="B5" s="24"/>
      <c r="C5" s="24"/>
      <c r="D5" s="25" t="str">
        <f aca="false">Hypothèses!B4</f>
        <v>Actualisé 2026</v>
      </c>
      <c r="E5" s="25"/>
      <c r="G5" s="7" t="s">
        <v>66</v>
      </c>
      <c r="J5" s="26" t="n">
        <f aca="false">I33</f>
        <v>0.351825315094368</v>
      </c>
    </row>
    <row r="6" customFormat="false" ht="15" hidden="false" customHeight="false" outlineLevel="0" collapsed="false">
      <c r="A6" s="24" t="s">
        <v>67</v>
      </c>
      <c r="B6" s="24"/>
      <c r="C6" s="24"/>
      <c r="D6" s="27" t="n">
        <f aca="false">M18</f>
        <v>20.1909854815531</v>
      </c>
      <c r="E6" s="27"/>
    </row>
    <row r="7" customFormat="false" ht="15" hidden="false" customHeight="false" outlineLevel="0" collapsed="false">
      <c r="A7" s="24" t="s">
        <v>68</v>
      </c>
      <c r="B7" s="24"/>
      <c r="C7" s="24"/>
      <c r="D7" s="28" t="n">
        <f aca="false">SUM(M18:M33)</f>
        <v>427.477030606173</v>
      </c>
      <c r="E7" s="28"/>
    </row>
    <row r="8" customFormat="false" ht="15" hidden="false" customHeight="false" outlineLevel="0" collapsed="false">
      <c r="A8" s="24" t="s">
        <v>69</v>
      </c>
      <c r="B8" s="24"/>
      <c r="C8" s="24"/>
      <c r="D8" s="28" t="n">
        <f aca="false">SUM(F18:F33)</f>
        <v>250.141223323461</v>
      </c>
      <c r="E8" s="28"/>
    </row>
    <row r="9" customFormat="false" ht="15" hidden="false" customHeight="false" outlineLevel="0" collapsed="false">
      <c r="A9" s="24" t="s">
        <v>70</v>
      </c>
      <c r="B9" s="24"/>
      <c r="C9" s="24"/>
      <c r="D9" s="28" t="n">
        <f aca="false">SUM(L18:L33)</f>
        <v>177.335807282712</v>
      </c>
      <c r="E9" s="28"/>
    </row>
    <row r="10" customFormat="false" ht="15" hidden="false" customHeight="false" outlineLevel="0" collapsed="false">
      <c r="A10" s="24" t="s">
        <v>71</v>
      </c>
      <c r="B10" s="24"/>
      <c r="C10" s="24"/>
      <c r="D10" s="27" t="n">
        <f aca="false">AVERAGE(M18:M33)</f>
        <v>26.7173144128858</v>
      </c>
      <c r="E10" s="27"/>
    </row>
    <row r="11" customFormat="false" ht="15" hidden="false" customHeight="false" outlineLevel="0" collapsed="false">
      <c r="A11" s="24" t="s">
        <v>72</v>
      </c>
      <c r="B11" s="24"/>
      <c r="C11" s="24"/>
      <c r="D11" s="29" t="n">
        <f aca="false">SUM(D18:D33)</f>
        <v>9410.69666313581</v>
      </c>
      <c r="E11" s="29"/>
    </row>
    <row r="12" customFormat="false" ht="15" hidden="false" customHeight="false" outlineLevel="0" collapsed="false">
      <c r="A12" s="24" t="s">
        <v>73</v>
      </c>
      <c r="B12" s="24"/>
      <c r="C12" s="24"/>
      <c r="D12" s="25" t="str">
        <f aca="false">TEXT(E18/D18,"0.0%")&amp;" → "&amp;TEXT(N18/D18,"0.0%")</f>
        <v>4.3% → 8.5%</v>
      </c>
      <c r="E12" s="25"/>
    </row>
    <row r="13" customFormat="false" ht="23.85" hidden="false" customHeight="false" outlineLevel="0" collapsed="false">
      <c r="A13" s="10" t="s">
        <v>54</v>
      </c>
      <c r="B13" s="10" t="s">
        <v>74</v>
      </c>
      <c r="C13" s="10" t="s">
        <v>75</v>
      </c>
      <c r="D13" s="10" t="s">
        <v>76</v>
      </c>
      <c r="E13" s="10" t="s">
        <v>77</v>
      </c>
      <c r="F13" s="10" t="s">
        <v>78</v>
      </c>
      <c r="G13" s="10" t="s">
        <v>79</v>
      </c>
      <c r="H13" s="10" t="s">
        <v>80</v>
      </c>
      <c r="I13" s="10" t="s">
        <v>81</v>
      </c>
      <c r="J13" s="10" t="s">
        <v>82</v>
      </c>
      <c r="K13" s="10" t="s">
        <v>83</v>
      </c>
      <c r="L13" s="10" t="s">
        <v>84</v>
      </c>
      <c r="M13" s="10" t="s">
        <v>85</v>
      </c>
      <c r="N13" s="10" t="s">
        <v>86</v>
      </c>
    </row>
    <row r="14" customFormat="false" ht="15" hidden="false" customHeight="false" outlineLevel="0" collapsed="false">
      <c r="A14" s="30" t="n">
        <v>2021</v>
      </c>
      <c r="B14" s="31" t="n">
        <f aca="false">IF(Hypothèses!$C$4=1,Hypothèses!$C$24,Hypothèses!$D$24)</f>
        <v>2508.1023</v>
      </c>
      <c r="C14" s="32" t="n">
        <f aca="false">Hypothèses!$E$12+(Hypothèses!$E$8-Hypothèses!$E$12)*(A14-Hypothèses!$E$13)/(Hypothèses!$E$14-Hypothèses!$E$13)</f>
        <v>0.15</v>
      </c>
      <c r="D14" s="31" t="n">
        <f aca="false">B14*C14</f>
        <v>376.215345</v>
      </c>
      <c r="E14" s="31" t="n">
        <f aca="false">IF(Hypothèses!$C$4=1,Hypothèses!$C$29,Hypothèses!$D$29)</f>
        <v>18.7</v>
      </c>
    </row>
    <row r="15" customFormat="false" ht="15" hidden="false" customHeight="false" outlineLevel="0" collapsed="false">
      <c r="A15" s="30" t="n">
        <v>2022</v>
      </c>
      <c r="B15" s="31" t="n">
        <f aca="false">IF(Hypothèses!$C$4=1,IF(ISBLANK(Hypothèses!$C$25),B14*(1+Hypothèses!$E$7),Hypothèses!$C$25),IF(ISBLANK(Hypothèses!$D$25),B14*(1+Hypothèses!$E$7),Hypothèses!$D$25))</f>
        <v>2655.435</v>
      </c>
      <c r="C15" s="32" t="n">
        <f aca="false">Hypothèses!$E$12+(Hypothèses!$E$8-Hypothèses!$E$12)*(A15-Hypothèses!$E$13)/(Hypothèses!$E$14-Hypothèses!$E$13)</f>
        <v>0.152758620689655</v>
      </c>
      <c r="D15" s="31" t="n">
        <f aca="false">B15*C15</f>
        <v>405.640587931035</v>
      </c>
      <c r="E15" s="31" t="n">
        <f aca="false">IF(Hypothèses!$C$4=1,IF(ISBLANK(Hypothèses!$C$30),E14*D15/D14,Hypothèses!$C$30),IF(ISBLANK(Hypothèses!$D$30),E14*D15/D14,Hypothèses!$D$30))</f>
        <v>18.7</v>
      </c>
      <c r="G15" s="31" t="n">
        <f aca="false">IF(Hypothèses!$C$4=1,Hypothèses!$C$35,Hypothèses!$D$35)</f>
        <v>14760.4936419221</v>
      </c>
      <c r="H15" s="31" t="n">
        <f aca="false">Hypothèses!$E$16*$G$15*(1+Hypothèses!$E$9)^(A15-Hypothèses!$E$17)</f>
        <v>3542.51847406129</v>
      </c>
      <c r="I15" s="33" t="n">
        <f aca="false">H15/G15</f>
        <v>0.24</v>
      </c>
    </row>
    <row r="16" customFormat="false" ht="15" hidden="false" customHeight="false" outlineLevel="0" collapsed="false">
      <c r="A16" s="30" t="n">
        <v>2023</v>
      </c>
      <c r="B16" s="31" t="n">
        <f aca="false">IF(Hypothèses!$C$4=1,IF(ISBLANK(Hypothèses!$C$26),B15*(1+Hypothèses!$E$7),Hypothèses!$C$26),IF(ISBLANK(Hypothèses!$D$26),B15*(1+Hypothèses!$E$7),Hypothèses!$D$26))</f>
        <v>2822.5</v>
      </c>
      <c r="C16" s="32" t="n">
        <f aca="false">Hypothèses!$E$12+(Hypothèses!$E$8-Hypothèses!$E$12)*(A16-Hypothèses!$E$13)/(Hypothèses!$E$14-Hypothèses!$E$13)</f>
        <v>0.15551724137931</v>
      </c>
      <c r="D16" s="31" t="n">
        <f aca="false">B16*C16</f>
        <v>438.947413793103</v>
      </c>
      <c r="E16" s="31" t="n">
        <f aca="false">IF(Hypothèses!$C$4=1,IF(ISBLANK(Hypothèses!$C$31),E15*D16/D15,Hypothèses!$C$31),IF(ISBLANK(Hypothèses!$D$31),E15*D16/D15,Hypothèses!$D$31))</f>
        <v>20.8</v>
      </c>
      <c r="G16" s="31" t="n">
        <f aca="false">IF(Hypothèses!$C$4=1,IF(ISBLANK(Hypothèses!$C$36),G15*(1+Hypothèses!$E$18),Hypothèses!$C$36),IF(ISBLANK(Hypothèses!$D$36),G15*(1+Hypothèses!$E$18),Hypothèses!$D$36))</f>
        <v>14849.0566037736</v>
      </c>
      <c r="H16" s="31" t="n">
        <f aca="false">Hypothèses!$E$16*$G$15*(1+Hypothèses!$E$9)^(A16-Hypothèses!$E$17)</f>
        <v>3687.7617314978</v>
      </c>
      <c r="I16" s="33" t="n">
        <f aca="false">H16/G16</f>
        <v>0.248349900596421</v>
      </c>
    </row>
    <row r="17" customFormat="false" ht="15" hidden="false" customHeight="false" outlineLevel="0" collapsed="false">
      <c r="A17" s="30" t="n">
        <v>2024</v>
      </c>
      <c r="B17" s="31" t="n">
        <f aca="false">IF(Hypothèses!$C$4=1,IF(ISBLANK(Hypothèses!$C$27),B16*(1+Hypothèses!$E$7),Hypothèses!$C$27),IF(ISBLANK(Hypothèses!$D$27),B16*(1+Hypothèses!$E$7),Hypothèses!$D$27))</f>
        <v>2935.32875368008</v>
      </c>
      <c r="C17" s="32" t="n">
        <f aca="false">Hypothèses!$E$12+(Hypothèses!$E$8-Hypothèses!$E$12)*(A17-Hypothèses!$E$13)/(Hypothèses!$E$14-Hypothèses!$E$13)</f>
        <v>0.158275862068966</v>
      </c>
      <c r="D17" s="31" t="n">
        <f aca="false">B17*C17</f>
        <v>464.591688944537</v>
      </c>
      <c r="E17" s="31" t="n">
        <f aca="false">IF(Hypothèses!$C$4=1,IF(ISBLANK(Hypothèses!$C$32),E16*D17/D16,Hypothèses!$C$32),IF(ISBLANK(Hypothèses!$D$32),E16*D17/D16,Hypothèses!$D$32))</f>
        <v>20.9</v>
      </c>
      <c r="G17" s="31" t="n">
        <f aca="false">IF(Hypothèses!$C$4=1,IF(ISBLANK(Hypothèses!$C$37),G16*(1+Hypothèses!$E$18),Hypothèses!$C$37),IF(ISBLANK(Hypothèses!$D$37),G16*(1+Hypothèses!$E$18),Hypothèses!$D$37))</f>
        <v>14953</v>
      </c>
      <c r="H17" s="31" t="n">
        <f aca="false">Hypothèses!$E$16*$G$15*(1+Hypothèses!$E$9)^(A17-Hypothèses!$E$17)</f>
        <v>3838.95996248921</v>
      </c>
      <c r="I17" s="33" t="n">
        <f aca="false">H17/G17</f>
        <v>0.256735100815169</v>
      </c>
    </row>
    <row r="18" customFormat="false" ht="15" hidden="false" customHeight="false" outlineLevel="0" collapsed="false">
      <c r="A18" s="30" t="n">
        <v>2025</v>
      </c>
      <c r="B18" s="31" t="n">
        <f aca="false">IF(Hypothèses!$C$4=1,IF(ISBLANK(Hypothèses!$C$28),B17*(1+Hypothèses!$E$7),Hypothèses!$C$28),IF(ISBLANK(Hypothèses!$D$28),B17*(1+Hypothèses!$E$7),Hypothèses!$D$28))</f>
        <v>2991.1</v>
      </c>
      <c r="C18" s="32" t="n">
        <f aca="false">Hypothèses!$E$12+(Hypothèses!$E$8-Hypothèses!$E$12)*(A18-Hypothèses!$E$13)/(Hypothèses!$E$14-Hypothèses!$E$13)</f>
        <v>0.161034482758621</v>
      </c>
      <c r="D18" s="31" t="n">
        <f aca="false">B18*C18</f>
        <v>481.67024137931</v>
      </c>
      <c r="E18" s="31" t="n">
        <f aca="false">IF(Hypothèses!$C$4=1,IF(ISBLANK(Hypothèses!$C$33),E17*D18/D17,Hypothèses!$C$33),IF(ISBLANK(Hypothèses!$D$33),E17*D18/D17,Hypothèses!$D$33))</f>
        <v>20.7</v>
      </c>
      <c r="F18" s="34" t="n">
        <f aca="false">Hypothèses!$E$15*D18/$D$14</f>
        <v>12.8030461218776</v>
      </c>
      <c r="G18" s="31" t="n">
        <f aca="false">G17*(1+Hypothèses!$E$18)</f>
        <v>15262.5271</v>
      </c>
      <c r="H18" s="31" t="n">
        <f aca="false">Hypothèses!$E$16*$G$15*(1+Hypothèses!$E$9)^(A18-Hypothèses!$E$17)</f>
        <v>3996.35732095127</v>
      </c>
      <c r="I18" s="33" t="n">
        <f aca="false">H18/G18</f>
        <v>0.261841128586843</v>
      </c>
      <c r="J18" s="35" t="n">
        <f aca="false">Hypothèses!$C$40</f>
        <v>0.0223</v>
      </c>
      <c r="K18" s="31" t="n">
        <f aca="false">H18*J18*Hypothèses!$E$10</f>
        <v>36.76323327864</v>
      </c>
      <c r="L18" s="34" t="n">
        <f aca="false">K18*Hypothèses!$E$11*Hypothèses!$E$19*(1-Hypothèses!$E$20)</f>
        <v>7.3879393596755</v>
      </c>
      <c r="M18" s="36" t="n">
        <f aca="false">F18+L18</f>
        <v>20.1909854815531</v>
      </c>
      <c r="N18" s="31" t="n">
        <f aca="false">E18+M18</f>
        <v>40.8909854815531</v>
      </c>
    </row>
    <row r="19" customFormat="false" ht="15" hidden="false" customHeight="false" outlineLevel="0" collapsed="false">
      <c r="A19" s="30" t="n">
        <v>2026</v>
      </c>
      <c r="B19" s="31" t="n">
        <f aca="false">B18*(1+Hypothèses!$E$7)</f>
        <v>3021.011</v>
      </c>
      <c r="C19" s="32" t="n">
        <f aca="false">Hypothèses!$E$12+(Hypothèses!$E$8-Hypothèses!$E$12)*(A19-Hypothèses!$E$13)/(Hypothèses!$E$14-Hypothèses!$E$13)</f>
        <v>0.163793103448276</v>
      </c>
      <c r="D19" s="31" t="n">
        <f aca="false">B19*C19</f>
        <v>494.820767241379</v>
      </c>
      <c r="E19" s="31" t="n">
        <f aca="false">IF(Hypothèses!$C$4=1,IF(ISBLANK(Hypothèses!$C$34),E18*D19/D18,Hypothèses!$C$34),IF(ISBLANK(Hypothèses!$D$34),E18*D19/D18,Hypothèses!$D$34))</f>
        <v>21.4</v>
      </c>
      <c r="F19" s="34" t="n">
        <f aca="false">Hypothèses!$E$15*D19/$D$14</f>
        <v>13.1525939549696</v>
      </c>
      <c r="G19" s="31" t="n">
        <f aca="false">G18*(1+Hypothèses!$E$18)</f>
        <v>15578.46141097</v>
      </c>
      <c r="H19" s="31" t="n">
        <f aca="false">Hypothèses!$E$16*$G$15*(1+Hypothèses!$E$9)^(A19-Hypothèses!$E$17)</f>
        <v>4160.20797111027</v>
      </c>
      <c r="I19" s="33" t="n">
        <f aca="false">H19/G19</f>
        <v>0.267048706631629</v>
      </c>
      <c r="J19" s="35" t="n">
        <f aca="false">Hypothèses!$C$41</f>
        <v>0.0225</v>
      </c>
      <c r="K19" s="31" t="n">
        <f aca="false">H19*J19*Hypothèses!$E$10</f>
        <v>38.6137592586971</v>
      </c>
      <c r="L19" s="34" t="n">
        <f aca="false">K19*Hypothèses!$E$11*Hypothèses!$E$19*(1-Hypothèses!$E$20)</f>
        <v>7.75982106062777</v>
      </c>
      <c r="M19" s="36" t="n">
        <f aca="false">F19+L19</f>
        <v>20.9124150155973</v>
      </c>
      <c r="N19" s="31" t="n">
        <f aca="false">E19+M19</f>
        <v>42.3124150155973</v>
      </c>
    </row>
    <row r="20" customFormat="false" ht="15" hidden="false" customHeight="false" outlineLevel="0" collapsed="false">
      <c r="A20" s="30" t="n">
        <v>2027</v>
      </c>
      <c r="B20" s="31" t="n">
        <f aca="false">B19*(1+Hypothèses!$E$7)</f>
        <v>3051.22111</v>
      </c>
      <c r="C20" s="32" t="n">
        <f aca="false">Hypothèses!$E$12+(Hypothèses!$E$8-Hypothèses!$E$12)*(A20-Hypothèses!$E$13)/(Hypothèses!$E$14-Hypothèses!$E$13)</f>
        <v>0.166551724137931</v>
      </c>
      <c r="D20" s="31" t="n">
        <f aca="false">B20*C20</f>
        <v>508.186136596552</v>
      </c>
      <c r="E20" s="31" t="n">
        <f aca="false">E19*D20/D19</f>
        <v>21.9780252631579</v>
      </c>
      <c r="F20" s="34" t="n">
        <f aca="false">Hypothèses!$E$15*D20/$D$14</f>
        <v>13.5078524401112</v>
      </c>
      <c r="G20" s="31" t="n">
        <f aca="false">G19*(1+Hypothèses!$E$18)</f>
        <v>15900.9355621771</v>
      </c>
      <c r="H20" s="31" t="n">
        <f aca="false">Hypothèses!$E$16*$G$15*(1+Hypothèses!$E$9)^(A20-Hypothèses!$E$17)</f>
        <v>4330.77649792579</v>
      </c>
      <c r="I20" s="33" t="n">
        <f aca="false">H20/G20</f>
        <v>0.272359854613036</v>
      </c>
      <c r="J20" s="35" t="n">
        <f aca="false">Hypothèses!$C$42</f>
        <v>0.0227</v>
      </c>
      <c r="K20" s="31" t="n">
        <f aca="false">H20*J20*Hypothèses!$E$10</f>
        <v>40.5542293739775</v>
      </c>
      <c r="L20" s="34" t="n">
        <f aca="false">K20*Hypothèses!$E$11*Hypothèses!$E$19*(1-Hypothèses!$E$20)</f>
        <v>8.14977793499452</v>
      </c>
      <c r="M20" s="36" t="n">
        <f aca="false">F20+L20</f>
        <v>21.6576303751057</v>
      </c>
      <c r="N20" s="31" t="n">
        <f aca="false">E20+M20</f>
        <v>43.6356556382636</v>
      </c>
    </row>
    <row r="21" customFormat="false" ht="15" hidden="false" customHeight="false" outlineLevel="0" collapsed="false">
      <c r="A21" s="30" t="n">
        <v>2028</v>
      </c>
      <c r="B21" s="31" t="n">
        <f aca="false">B20*(1+Hypothèses!$E$7)</f>
        <v>3081.7333211</v>
      </c>
      <c r="C21" s="32" t="n">
        <f aca="false">Hypothèses!$E$12+(Hypothèses!$E$8-Hypothèses!$E$12)*(A21-Hypothèses!$E$13)/(Hypothèses!$E$14-Hypothèses!$E$13)</f>
        <v>0.169310344827586</v>
      </c>
      <c r="D21" s="31" t="n">
        <f aca="false">B21*C21</f>
        <v>521.769331262103</v>
      </c>
      <c r="E21" s="31" t="n">
        <f aca="false">E20*D21/D20</f>
        <v>22.5654710315789</v>
      </c>
      <c r="F21" s="34" t="n">
        <f aca="false">Hypothèses!$E$15*D21/$D$14</f>
        <v>13.8689008355601</v>
      </c>
      <c r="G21" s="31" t="n">
        <f aca="false">G20*(1+Hypothèses!$E$18)</f>
        <v>16230.0849283141</v>
      </c>
      <c r="H21" s="31" t="n">
        <f aca="false">Hypothèses!$E$16*$G$15*(1+Hypothèses!$E$9)^(A21-Hypothèses!$E$17)</f>
        <v>4508.33833434075</v>
      </c>
      <c r="I21" s="33" t="n">
        <f aca="false">H21/G21</f>
        <v>0.277776632362271</v>
      </c>
      <c r="J21" s="35" t="n">
        <f aca="false">Hypothèses!$C$43</f>
        <v>0.0229</v>
      </c>
      <c r="K21" s="31" t="n">
        <f aca="false">H21*J21*Hypothèses!$E$10</f>
        <v>42.588908309397</v>
      </c>
      <c r="L21" s="34" t="n">
        <f aca="false">K21*Hypothèses!$E$11*Hypothèses!$E$19*(1-Hypothèses!$E$20)</f>
        <v>8.55866701385642</v>
      </c>
      <c r="M21" s="36" t="n">
        <f aca="false">F21+L21</f>
        <v>22.4275678494165</v>
      </c>
      <c r="N21" s="31" t="n">
        <f aca="false">E21+M21</f>
        <v>44.9930388809955</v>
      </c>
    </row>
    <row r="22" customFormat="false" ht="15" hidden="false" customHeight="false" outlineLevel="0" collapsed="false">
      <c r="A22" s="30" t="n">
        <v>2029</v>
      </c>
      <c r="B22" s="31" t="n">
        <f aca="false">B21*(1+Hypothèses!$E$7)</f>
        <v>3112.550654311</v>
      </c>
      <c r="C22" s="32" t="n">
        <f aca="false">Hypothèses!$E$12+(Hypothèses!$E$8-Hypothèses!$E$12)*(A22-Hypothèses!$E$13)/(Hypothèses!$E$14-Hypothèses!$E$13)</f>
        <v>0.172068965517241</v>
      </c>
      <c r="D22" s="31" t="n">
        <f aca="false">B22*C22</f>
        <v>535.573371207307</v>
      </c>
      <c r="E22" s="31" t="n">
        <f aca="false">E21*D22/D21</f>
        <v>23.1624679128421</v>
      </c>
      <c r="F22" s="34" t="n">
        <f aca="false">Hypothèses!$E$15*D22/$D$14</f>
        <v>14.235819413674</v>
      </c>
      <c r="G22" s="31" t="n">
        <f aca="false">G21*(1+Hypothèses!$E$18)</f>
        <v>16566.0476863302</v>
      </c>
      <c r="H22" s="31" t="n">
        <f aca="false">Hypothèses!$E$16*$G$15*(1+Hypothèses!$E$9)^(A22-Hypothèses!$E$17)</f>
        <v>4693.18020604872</v>
      </c>
      <c r="I22" s="33" t="n">
        <f aca="false">H22/G22</f>
        <v>0.283301140677108</v>
      </c>
      <c r="J22" s="35" t="n">
        <f aca="false">Hypothèses!$C$44</f>
        <v>0.0231</v>
      </c>
      <c r="K22" s="31" t="n">
        <f aca="false">H22*J22*Hypothèses!$E$10</f>
        <v>44.7222592579433</v>
      </c>
      <c r="L22" s="34" t="n">
        <f aca="false">K22*Hypothèses!$E$11*Hypothèses!$E$19*(1-Hypothèses!$E$20)</f>
        <v>8.98738522047628</v>
      </c>
      <c r="M22" s="36" t="n">
        <f aca="false">F22+L22</f>
        <v>23.2232046341503</v>
      </c>
      <c r="N22" s="31" t="n">
        <f aca="false">E22+M22</f>
        <v>46.3856725469924</v>
      </c>
    </row>
    <row r="23" customFormat="false" ht="15" hidden="false" customHeight="false" outlineLevel="0" collapsed="false">
      <c r="A23" s="30" t="n">
        <v>2030</v>
      </c>
      <c r="B23" s="31" t="n">
        <f aca="false">B22*(1+Hypothèses!$E$7)</f>
        <v>3143.67616085411</v>
      </c>
      <c r="C23" s="32" t="n">
        <f aca="false">Hypothèses!$E$12+(Hypothèses!$E$8-Hypothèses!$E$12)*(A23-Hypothèses!$E$13)/(Hypothèses!$E$14-Hypothèses!$E$13)</f>
        <v>0.174827586206897</v>
      </c>
      <c r="D23" s="31" t="n">
        <f aca="false">B23*C23</f>
        <v>549.601315018288</v>
      </c>
      <c r="E23" s="31" t="n">
        <f aca="false">E22*D23/D22</f>
        <v>23.7691481846274</v>
      </c>
      <c r="F23" s="34" t="n">
        <f aca="false">Hypothèses!$E$15*D23/$D$14</f>
        <v>14.6086894732666</v>
      </c>
      <c r="G23" s="31" t="n">
        <f aca="false">G22*(1+Hypothèses!$E$18)</f>
        <v>16908.9648734373</v>
      </c>
      <c r="H23" s="31" t="n">
        <f aca="false">Hypothèses!$E$16*$G$15*(1+Hypothèses!$E$9)^(A23-Hypothèses!$E$17)</f>
        <v>4885.60059449672</v>
      </c>
      <c r="I23" s="33" t="n">
        <f aca="false">H23/G23</f>
        <v>0.288935522136641</v>
      </c>
      <c r="J23" s="35" t="n">
        <f aca="false">Hypothèses!$C$45</f>
        <v>0.0233</v>
      </c>
      <c r="K23" s="31" t="n">
        <f aca="false">H23*J23*Hypothèses!$E$10</f>
        <v>46.9589530294022</v>
      </c>
      <c r="L23" s="34" t="n">
        <f aca="false">K23*Hypothèses!$E$11*Hypothèses!$E$19*(1-Hypothèses!$E$20)</f>
        <v>9.43687120078867</v>
      </c>
      <c r="M23" s="36" t="n">
        <f aca="false">F23+L23</f>
        <v>24.0455606740553</v>
      </c>
      <c r="N23" s="31" t="n">
        <f aca="false">E23+M23</f>
        <v>47.8147088586827</v>
      </c>
    </row>
    <row r="24" customFormat="false" ht="15" hidden="false" customHeight="false" outlineLevel="0" collapsed="false">
      <c r="A24" s="30" t="n">
        <v>2031</v>
      </c>
      <c r="B24" s="31" t="n">
        <f aca="false">B23*(1+Hypothèses!$E$7)</f>
        <v>3175.11292246265</v>
      </c>
      <c r="C24" s="32" t="n">
        <f aca="false">Hypothèses!$E$12+(Hypothèses!$E$8-Hypothèses!$E$12)*(A24-Hypothèses!$E$13)/(Hypothèses!$E$14-Hypothèses!$E$13)</f>
        <v>0.177586206896552</v>
      </c>
      <c r="D24" s="31" t="n">
        <f aca="false">B24*C24</f>
        <v>563.856260368367</v>
      </c>
      <c r="E24" s="31" t="n">
        <f aca="false">E23*D24/D23</f>
        <v>24.3856458150571</v>
      </c>
      <c r="F24" s="34" t="n">
        <f aca="false">Hypothèses!$E$15*D24/$D$14</f>
        <v>14.9875933521097</v>
      </c>
      <c r="G24" s="31" t="n">
        <f aca="false">G23*(1+Hypothèses!$E$18)</f>
        <v>17258.9804463174</v>
      </c>
      <c r="H24" s="31" t="n">
        <f aca="false">Hypothèses!$E$16*$G$15*(1+Hypothèses!$E$9)^(A24-Hypothèses!$E$17)</f>
        <v>5085.91021887109</v>
      </c>
      <c r="I24" s="33" t="n">
        <f aca="false">H24/G24</f>
        <v>0.294681961932246</v>
      </c>
      <c r="J24" s="35" t="n">
        <f aca="false">Hypothèses!$C$46</f>
        <v>0.0235</v>
      </c>
      <c r="K24" s="31" t="n">
        <f aca="false">H24*J24*Hypothèses!$E$10</f>
        <v>49.3038775723082</v>
      </c>
      <c r="L24" s="34" t="n">
        <f aca="false">K24*Hypothèses!$E$11*Hypothèses!$E$19*(1-Hypothèses!$E$20)</f>
        <v>9.90810723693106</v>
      </c>
      <c r="M24" s="36" t="n">
        <f aca="false">F24+L24</f>
        <v>24.8957005890408</v>
      </c>
      <c r="N24" s="31" t="n">
        <f aca="false">E24+M24</f>
        <v>49.2813464040978</v>
      </c>
    </row>
    <row r="25" customFormat="false" ht="15" hidden="false" customHeight="false" outlineLevel="0" collapsed="false">
      <c r="A25" s="30" t="n">
        <v>2032</v>
      </c>
      <c r="B25" s="31" t="n">
        <f aca="false">B24*(1+Hypothèses!$E$7)</f>
        <v>3206.86405168728</v>
      </c>
      <c r="C25" s="32" t="n">
        <f aca="false">Hypothèses!$E$12+(Hypothèses!$E$8-Hypothèses!$E$12)*(A25-Hypothèses!$E$13)/(Hypothèses!$E$14-Hypothèses!$E$13)</f>
        <v>0.180344827586207</v>
      </c>
      <c r="D25" s="31" t="n">
        <f aca="false">B25*C25</f>
        <v>578.341344493947</v>
      </c>
      <c r="E25" s="31" t="n">
        <f aca="false">E24*D25/D24</f>
        <v>25.0120964832769</v>
      </c>
      <c r="F25" s="34" t="n">
        <f aca="false">Hypothèses!$E$15*D25/$D$14</f>
        <v>15.3726144395824</v>
      </c>
      <c r="G25" s="31" t="n">
        <f aca="false">G24*(1+Hypothèses!$E$18)</f>
        <v>17616.2413415562</v>
      </c>
      <c r="H25" s="31" t="n">
        <f aca="false">Hypothèses!$E$16*$G$15*(1+Hypothèses!$E$9)^(A25-Hypothèses!$E$17)</f>
        <v>5294.4325378448</v>
      </c>
      <c r="I25" s="33" t="n">
        <f aca="false">H25/G25</f>
        <v>0.300542688715066</v>
      </c>
      <c r="J25" s="35" t="n">
        <f aca="false">Hypothèses!$C$47</f>
        <v>0.0238</v>
      </c>
      <c r="K25" s="31" t="n">
        <f aca="false">H25*J25*Hypothèses!$E$10</f>
        <v>51.9805536151486</v>
      </c>
      <c r="L25" s="34" t="n">
        <f aca="false">K25*Hypothèses!$E$11*Hypothèses!$E$19*(1-Hypothèses!$E$20)</f>
        <v>10.4460120545003</v>
      </c>
      <c r="M25" s="36" t="n">
        <f aca="false">F25+L25</f>
        <v>25.8186264940827</v>
      </c>
      <c r="N25" s="31" t="n">
        <f aca="false">E25+M25</f>
        <v>50.8307229773595</v>
      </c>
    </row>
    <row r="26" customFormat="false" ht="15" hidden="false" customHeight="false" outlineLevel="0" collapsed="false">
      <c r="A26" s="30" t="n">
        <v>2033</v>
      </c>
      <c r="B26" s="31" t="n">
        <f aca="false">B25*(1+Hypothèses!$E$7)</f>
        <v>3238.93269220415</v>
      </c>
      <c r="C26" s="32" t="n">
        <f aca="false">Hypothèses!$E$12+(Hypothèses!$E$8-Hypothèses!$E$12)*(A26-Hypothèses!$E$13)/(Hypothèses!$E$14-Hypothèses!$E$13)</f>
        <v>0.183103448275862</v>
      </c>
      <c r="D26" s="31" t="n">
        <f aca="false">B26*C26</f>
        <v>593.059744676001</v>
      </c>
      <c r="E26" s="31" t="n">
        <f aca="false">E25*D26/D25</f>
        <v>25.6486376002796</v>
      </c>
      <c r="F26" s="34" t="n">
        <f aca="false">Hypothèses!$E$15*D26/$D$14</f>
        <v>15.7638371894693</v>
      </c>
      <c r="G26" s="31" t="n">
        <f aca="false">G25*(1+Hypothèses!$E$18)</f>
        <v>17980.8975373264</v>
      </c>
      <c r="H26" s="31" t="n">
        <f aca="false">Hypothèses!$E$16*$G$15*(1+Hypothèses!$E$9)^(A26-Hypothèses!$E$17)</f>
        <v>5511.50427189644</v>
      </c>
      <c r="I26" s="33" t="n">
        <f aca="false">H26/G26</f>
        <v>0.306519975460354</v>
      </c>
      <c r="J26" s="35" t="n">
        <f aca="false">Hypothèses!$C$48</f>
        <v>0.0241</v>
      </c>
      <c r="K26" s="31" t="n">
        <f aca="false">H26*J26*Hypothèses!$E$10</f>
        <v>54.793837275303</v>
      </c>
      <c r="L26" s="34" t="n">
        <f aca="false">K26*Hypothèses!$E$11*Hypothèses!$E$19*(1-Hypothèses!$E$20)</f>
        <v>11.0113695388449</v>
      </c>
      <c r="M26" s="36" t="n">
        <f aca="false">F26+L26</f>
        <v>26.7752067283142</v>
      </c>
      <c r="N26" s="31" t="n">
        <f aca="false">E26+M26</f>
        <v>52.4238443285937</v>
      </c>
    </row>
    <row r="27" customFormat="false" ht="15" hidden="false" customHeight="false" outlineLevel="0" collapsed="false">
      <c r="A27" s="30" t="n">
        <v>2034</v>
      </c>
      <c r="B27" s="31" t="n">
        <f aca="false">B26*(1+Hypothèses!$E$7)</f>
        <v>3271.32201912619</v>
      </c>
      <c r="C27" s="32" t="n">
        <f aca="false">Hypothèses!$E$12+(Hypothèses!$E$8-Hypothèses!$E$12)*(A27-Hypothèses!$E$13)/(Hypothèses!$E$14-Hypothèses!$E$13)</f>
        <v>0.185862068965517</v>
      </c>
      <c r="D27" s="31" t="n">
        <f aca="false">B27*C27</f>
        <v>608.014678727247</v>
      </c>
      <c r="E27" s="31" t="n">
        <f aca="false">E26*D27/D26</f>
        <v>26.295408329974</v>
      </c>
      <c r="F27" s="34" t="n">
        <f aca="false">Hypothèses!$E$15*D27/$D$14</f>
        <v>16.1613471329099</v>
      </c>
      <c r="G27" s="31" t="n">
        <f aca="false">G26*(1+Hypothèses!$E$18)</f>
        <v>18353.1021163491</v>
      </c>
      <c r="H27" s="31" t="n">
        <f aca="false">Hypothèses!$E$16*$G$15*(1+Hypothèses!$E$9)^(A27-Hypothèses!$E$17)</f>
        <v>5737.47594704419</v>
      </c>
      <c r="I27" s="33" t="n">
        <f aca="false">H27/G27</f>
        <v>0.312616140349004</v>
      </c>
      <c r="J27" s="35" t="n">
        <f aca="false">Hypothèses!$C$49</f>
        <v>0.0244</v>
      </c>
      <c r="K27" s="31" t="n">
        <f aca="false">H27*J27*Hypothèses!$E$10</f>
        <v>57.7504308849629</v>
      </c>
      <c r="L27" s="34" t="n">
        <f aca="false">K27*Hypothèses!$E$11*Hypothèses!$E$19*(1-Hypothèses!$E$20)</f>
        <v>11.6055265906421</v>
      </c>
      <c r="M27" s="36" t="n">
        <f aca="false">F27+L27</f>
        <v>27.7668737235521</v>
      </c>
      <c r="N27" s="31" t="n">
        <f aca="false">E27+M27</f>
        <v>54.0622820535261</v>
      </c>
    </row>
    <row r="28" customFormat="false" ht="15" hidden="false" customHeight="false" outlineLevel="0" collapsed="false">
      <c r="A28" s="30" t="n">
        <v>2035</v>
      </c>
      <c r="B28" s="31" t="n">
        <f aca="false">B27*(1+Hypothèses!$E$7)</f>
        <v>3304.03523931745</v>
      </c>
      <c r="C28" s="32" t="n">
        <f aca="false">Hypothèses!$E$12+(Hypothèses!$E$8-Hypothèses!$E$12)*(A28-Hypothèses!$E$13)/(Hypothèses!$E$14-Hypothèses!$E$13)</f>
        <v>0.188620689655172</v>
      </c>
      <c r="D28" s="31" t="n">
        <f aca="false">B28*C28</f>
        <v>623.209405485051</v>
      </c>
      <c r="E28" s="31" t="n">
        <f aca="false">E27*D28/D27</f>
        <v>26.9525496105023</v>
      </c>
      <c r="F28" s="34" t="n">
        <f aca="false">Hypothèses!$E$15*D28/$D$14</f>
        <v>16.5652308915005</v>
      </c>
      <c r="G28" s="31" t="n">
        <f aca="false">G27*(1+Hypothèses!$E$18)</f>
        <v>18733.0113301575</v>
      </c>
      <c r="H28" s="31" t="n">
        <f aca="false">Hypothèses!$E$16*$G$15*(1+Hypothèses!$E$9)^(A28-Hypothèses!$E$17)</f>
        <v>5972.712460873</v>
      </c>
      <c r="I28" s="33" t="n">
        <f aca="false">H28/G28</f>
        <v>0.318833547666615</v>
      </c>
      <c r="J28" s="35" t="n">
        <f aca="false">Hypothèses!$C$50</f>
        <v>0.0247</v>
      </c>
      <c r="K28" s="31" t="n">
        <f aca="false">H28*J28*Hypothèses!$E$10</f>
        <v>60.8573567301551</v>
      </c>
      <c r="L28" s="34" t="n">
        <f aca="false">K28*Hypothèses!$E$11*Hypothèses!$E$19*(1-Hypothèses!$E$20)</f>
        <v>12.229894408492</v>
      </c>
      <c r="M28" s="36" t="n">
        <f aca="false">F28+L28</f>
        <v>28.7951252999925</v>
      </c>
      <c r="N28" s="31" t="n">
        <f aca="false">E28+M28</f>
        <v>55.7476749104948</v>
      </c>
    </row>
    <row r="29" customFormat="false" ht="15" hidden="false" customHeight="false" outlineLevel="0" collapsed="false">
      <c r="A29" s="30" t="n">
        <v>2036</v>
      </c>
      <c r="B29" s="31" t="n">
        <f aca="false">B28*(1+Hypothèses!$E$7)</f>
        <v>3337.07559171063</v>
      </c>
      <c r="C29" s="32" t="n">
        <f aca="false">Hypothèses!$E$12+(Hypothèses!$E$8-Hypothèses!$E$12)*(A29-Hypothèses!$E$13)/(Hypothèses!$E$14-Hypothèses!$E$13)</f>
        <v>0.191379310344828</v>
      </c>
      <c r="D29" s="31" t="n">
        <f aca="false">B29*C29</f>
        <v>638.647225310138</v>
      </c>
      <c r="E29" s="31" t="n">
        <f aca="false">E28*D29/D28</f>
        <v>27.6202041758082</v>
      </c>
      <c r="F29" s="34" t="n">
        <f aca="false">Hypothèses!$E$15*D29/$D$14</f>
        <v>16.9755761905495</v>
      </c>
      <c r="G29" s="31" t="n">
        <f aca="false">G28*(1+Hypothèses!$E$18)</f>
        <v>19120.7846646918</v>
      </c>
      <c r="H29" s="31" t="n">
        <f aca="false">Hypothèses!$E$16*$G$15*(1+Hypothèses!$E$9)^(A29-Hypothèses!$E$17)</f>
        <v>6217.59367176879</v>
      </c>
      <c r="I29" s="33" t="n">
        <f aca="false">H29/G29</f>
        <v>0.325174608720433</v>
      </c>
      <c r="J29" s="35" t="n">
        <f aca="false">Hypothèses!$C$51</f>
        <v>0.025</v>
      </c>
      <c r="K29" s="31" t="n">
        <f aca="false">H29*J29*Hypothèses!$E$10</f>
        <v>64.1219720203355</v>
      </c>
      <c r="L29" s="34" t="n">
        <f aca="false">K29*Hypothèses!$E$11*Hypothèses!$E$19*(1-Hypothèses!$E$20)</f>
        <v>12.8859514972066</v>
      </c>
      <c r="M29" s="36" t="n">
        <f aca="false">F29+L29</f>
        <v>29.8615276877561</v>
      </c>
      <c r="N29" s="31" t="n">
        <f aca="false">E29+M29</f>
        <v>57.4817318635643</v>
      </c>
    </row>
    <row r="30" customFormat="false" ht="15" hidden="false" customHeight="false" outlineLevel="0" collapsed="false">
      <c r="A30" s="30" t="n">
        <v>2037</v>
      </c>
      <c r="B30" s="31" t="n">
        <f aca="false">B29*(1+Hypothèses!$E$7)</f>
        <v>3370.44634762773</v>
      </c>
      <c r="C30" s="32" t="n">
        <f aca="false">Hypothèses!$E$12+(Hypothèses!$E$8-Hypothèses!$E$12)*(A30-Hypothèses!$E$13)/(Hypothèses!$E$14-Hypothèses!$E$13)</f>
        <v>0.194137931034483</v>
      </c>
      <c r="D30" s="31" t="n">
        <f aca="false">B30*C30</f>
        <v>654.331480591178</v>
      </c>
      <c r="E30" s="31" t="n">
        <f aca="false">E29*D30/D29</f>
        <v>28.2985165774591</v>
      </c>
      <c r="F30" s="34" t="n">
        <f aca="false">Hypothèses!$E$15*D30/$D$14</f>
        <v>17.3924718724904</v>
      </c>
      <c r="G30" s="31" t="n">
        <f aca="false">G29*(1+Hypothèses!$E$18)</f>
        <v>19516.5849072509</v>
      </c>
      <c r="H30" s="31" t="n">
        <f aca="false">Hypothèses!$E$16*$G$15*(1+Hypothèses!$E$9)^(A30-Hypothèses!$E$17)</f>
        <v>6472.51501231131</v>
      </c>
      <c r="I30" s="33" t="n">
        <f aca="false">H30/G30</f>
        <v>0.331641782774538</v>
      </c>
      <c r="J30" s="35" t="n">
        <f aca="false">Hypothèses!$C$52</f>
        <v>0.0253</v>
      </c>
      <c r="K30" s="31" t="n">
        <f aca="false">H30*J30*Hypothèses!$E$10</f>
        <v>67.5519845476473</v>
      </c>
      <c r="L30" s="34" t="n">
        <f aca="false">K30*Hypothèses!$E$11*Hypothèses!$E$19*(1-Hypothèses!$E$20)</f>
        <v>13.5752468146952</v>
      </c>
      <c r="M30" s="36" t="n">
        <f aca="false">F30+L30</f>
        <v>30.9677186871856</v>
      </c>
      <c r="N30" s="31" t="n">
        <f aca="false">E30+M30</f>
        <v>59.2662352646447</v>
      </c>
    </row>
    <row r="31" customFormat="false" ht="15" hidden="false" customHeight="false" outlineLevel="0" collapsed="false">
      <c r="A31" s="30" t="n">
        <v>2038</v>
      </c>
      <c r="B31" s="31" t="n">
        <f aca="false">B30*(1+Hypothèses!$E$7)</f>
        <v>3404.15081110401</v>
      </c>
      <c r="C31" s="32" t="n">
        <f aca="false">Hypothèses!$E$12+(Hypothèses!$E$8-Hypothèses!$E$12)*(A31-Hypothèses!$E$13)/(Hypothèses!$E$14-Hypothèses!$E$13)</f>
        <v>0.196896551724138</v>
      </c>
      <c r="D31" s="31" t="n">
        <f aca="false">B31*C31</f>
        <v>670.265556255307</v>
      </c>
      <c r="E31" s="31" t="n">
        <f aca="false">E30*D31/D30</f>
        <v>28.9876332067255</v>
      </c>
      <c r="F31" s="34" t="n">
        <f aca="false">Hypothèses!$E$15*D31/$D$14</f>
        <v>17.8160079104511</v>
      </c>
      <c r="G31" s="31" t="n">
        <f aca="false">G30*(1+Hypothèses!$E$18)</f>
        <v>19920.578214831</v>
      </c>
      <c r="H31" s="31" t="n">
        <f aca="false">Hypothèses!$E$16*$G$15*(1+Hypothèses!$E$9)^(A31-Hypothèses!$E$17)</f>
        <v>6737.88812781608</v>
      </c>
      <c r="I31" s="33" t="n">
        <f aca="false">H31/G31</f>
        <v>0.338237578003619</v>
      </c>
      <c r="J31" s="35" t="n">
        <f aca="false">Hypothèses!$C$53</f>
        <v>0.0257</v>
      </c>
      <c r="K31" s="31" t="n">
        <f aca="false">H31*J31*Hypothèses!$E$10</f>
        <v>71.4334201182763</v>
      </c>
      <c r="L31" s="34" t="n">
        <f aca="false">K31*Hypothèses!$E$11*Hypothèses!$E$19*(1-Hypothèses!$E$20)</f>
        <v>14.3552601069688</v>
      </c>
      <c r="M31" s="36" t="n">
        <f aca="false">F31+L31</f>
        <v>32.1712680174199</v>
      </c>
      <c r="N31" s="31" t="n">
        <f aca="false">E31+M31</f>
        <v>61.1589012241453</v>
      </c>
    </row>
    <row r="32" customFormat="false" ht="15" hidden="false" customHeight="false" outlineLevel="0" collapsed="false">
      <c r="A32" s="30" t="n">
        <v>2039</v>
      </c>
      <c r="B32" s="31" t="n">
        <f aca="false">B31*(1+Hypothèses!$E$7)</f>
        <v>3438.19231921505</v>
      </c>
      <c r="C32" s="32" t="n">
        <f aca="false">Hypothèses!$E$12+(Hypothèses!$E$8-Hypothèses!$E$12)*(A32-Hypothèses!$E$13)/(Hypothèses!$E$14-Hypothèses!$E$13)</f>
        <v>0.199655172413793</v>
      </c>
      <c r="D32" s="31" t="n">
        <f aca="false">B32*C32</f>
        <v>686.45288028466</v>
      </c>
      <c r="E32" s="31" t="n">
        <f aca="false">E31*D32/D31</f>
        <v>29.6877023169194</v>
      </c>
      <c r="F32" s="34" t="n">
        <f aca="false">Hypothèses!$E$15*D32/$D$14</f>
        <v>18.2462754219837</v>
      </c>
      <c r="G32" s="31" t="n">
        <f aca="false">G31*(1+Hypothèses!$E$18)</f>
        <v>20332.934183878</v>
      </c>
      <c r="H32" s="31" t="n">
        <f aca="false">Hypothèses!$E$16*$G$15*(1+Hypothèses!$E$9)^(A32-Hypothèses!$E$17)</f>
        <v>7014.14154105653</v>
      </c>
      <c r="I32" s="33" t="n">
        <f aca="false">H32/G32</f>
        <v>0.344964552465727</v>
      </c>
      <c r="J32" s="35" t="n">
        <f aca="false">Hypothèses!$C$54</f>
        <v>0.026</v>
      </c>
      <c r="K32" s="31" t="n">
        <f aca="false">H32*J32*Hypothèses!$E$10</f>
        <v>75.2302314755357</v>
      </c>
      <c r="L32" s="34" t="n">
        <f aca="false">K32*Hypothèses!$E$11*Hypothèses!$E$19*(1-Hypothèses!$E$20)</f>
        <v>15.1182673173237</v>
      </c>
      <c r="M32" s="36" t="n">
        <f aca="false">F32+L32</f>
        <v>33.3645427393073</v>
      </c>
      <c r="N32" s="31" t="n">
        <f aca="false">E32+M32</f>
        <v>63.0522450562267</v>
      </c>
    </row>
    <row r="33" customFormat="false" ht="15" hidden="false" customHeight="false" outlineLevel="0" collapsed="false">
      <c r="A33" s="30" t="n">
        <v>2040</v>
      </c>
      <c r="B33" s="31" t="n">
        <f aca="false">B32*(1+Hypothèses!$E$7)</f>
        <v>3472.5742424072</v>
      </c>
      <c r="C33" s="32" t="n">
        <f aca="false">Hypothèses!$E$12+(Hypothèses!$E$8-Hypothèses!$E$12)*(A33-Hypothèses!$E$13)/(Hypothèses!$E$14-Hypothèses!$E$13)</f>
        <v>0.202413793103448</v>
      </c>
      <c r="D33" s="31" t="n">
        <f aca="false">B33*C33</f>
        <v>702.896924238975</v>
      </c>
      <c r="E33" s="31" t="n">
        <f aca="false">E32*D33/D32</f>
        <v>30.3988740459966</v>
      </c>
      <c r="F33" s="34" t="n">
        <f aca="false">Hypothèses!$E$15*D33/$D$14</f>
        <v>18.6833666829559</v>
      </c>
      <c r="G33" s="31" t="n">
        <f aca="false">G32*(1+Hypothèses!$E$18)</f>
        <v>20753.8259214842</v>
      </c>
      <c r="H33" s="31" t="n">
        <f aca="false">Hypothèses!$E$16*$G$15*(1+Hypothèses!$E$9)^(A33-Hypothèses!$E$17)</f>
        <v>7301.72134423985</v>
      </c>
      <c r="I33" s="33" t="n">
        <f aca="false">H33/G33</f>
        <v>0.351825315094368</v>
      </c>
      <c r="J33" s="35" t="n">
        <f aca="false">Hypothèses!$C$55</f>
        <v>0.0263</v>
      </c>
      <c r="K33" s="31" t="n">
        <f aca="false">H33*J33*Hypothèses!$E$10</f>
        <v>79.2183017848715</v>
      </c>
      <c r="L33" s="34" t="n">
        <f aca="false">K33*Hypothèses!$E$11*Hypothèses!$E$19*(1-Hypothèses!$E$20)</f>
        <v>15.9197099266878</v>
      </c>
      <c r="M33" s="36" t="n">
        <f aca="false">F33+L33</f>
        <v>34.6030766096437</v>
      </c>
      <c r="N33" s="31" t="n">
        <f aca="false">E33+M33</f>
        <v>65.0019506556402</v>
      </c>
    </row>
  </sheetData>
  <mergeCells count="16"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4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G3" s="3" t="s">
        <v>89</v>
      </c>
    </row>
    <row r="4" customFormat="false" ht="15" hidden="false" customHeight="false" outlineLevel="0" collapsed="false">
      <c r="A4" s="7" t="s">
        <v>90</v>
      </c>
      <c r="B4" s="37" t="n">
        <v>300000</v>
      </c>
      <c r="G4" s="7" t="s">
        <v>91</v>
      </c>
      <c r="H4" s="38" t="n">
        <f aca="false">B4/B6</f>
        <v>150000</v>
      </c>
    </row>
    <row r="5" customFormat="false" ht="15" hidden="false" customHeight="false" outlineLevel="0" collapsed="false">
      <c r="A5" s="7" t="s">
        <v>92</v>
      </c>
      <c r="B5" s="37" t="n">
        <v>0</v>
      </c>
      <c r="G5" s="7" t="s">
        <v>93</v>
      </c>
      <c r="H5" s="38" t="n">
        <f aca="false">MAX(0,H4-B9)</f>
        <v>50000</v>
      </c>
    </row>
    <row r="6" customFormat="false" ht="15" hidden="false" customHeight="false" outlineLevel="0" collapsed="false">
      <c r="A6" s="7" t="s">
        <v>94</v>
      </c>
      <c r="B6" s="18" t="n">
        <v>2</v>
      </c>
      <c r="G6" s="7" t="s">
        <v>95</v>
      </c>
      <c r="H6" s="38" t="n">
        <f aca="false">SUMPRODUCT(((H5&gt;A15:A21)*1)*(((H5&lt;B15:B21)*H5)+((H5&gt;=B15:B21)*B15:B21)-A15:A21)*C15:C21)*B6</f>
        <v>16388.7</v>
      </c>
    </row>
    <row r="7" customFormat="false" ht="15" hidden="false" customHeight="false" outlineLevel="0" collapsed="false">
      <c r="A7" s="7" t="s">
        <v>96</v>
      </c>
      <c r="B7" s="37" t="n">
        <v>0</v>
      </c>
      <c r="G7" s="7" t="s">
        <v>97</v>
      </c>
      <c r="H7" s="38" t="n">
        <f aca="false">B5/B6</f>
        <v>0</v>
      </c>
    </row>
    <row r="8" customFormat="false" ht="15" hidden="false" customHeight="false" outlineLevel="0" collapsed="false">
      <c r="G8" s="7" t="s">
        <v>98</v>
      </c>
      <c r="H8" s="38" t="n">
        <f aca="false">MAX(0,H7-B10)</f>
        <v>0</v>
      </c>
    </row>
    <row r="9" customFormat="false" ht="15" hidden="false" customHeight="false" outlineLevel="0" collapsed="false">
      <c r="A9" s="7" t="s">
        <v>99</v>
      </c>
      <c r="B9" s="39" t="n">
        <v>100000</v>
      </c>
      <c r="G9" s="7" t="s">
        <v>100</v>
      </c>
      <c r="H9" s="38" t="n">
        <f aca="false">SUMPRODUCT(((H8&gt;A25:A26)*1)*(((H8&lt;B25:B26)*H8)+((H8&gt;=B25:B26)*B25:B26)-A25:A26)*C25:C26)*B6</f>
        <v>0</v>
      </c>
    </row>
    <row r="10" customFormat="false" ht="15" hidden="false" customHeight="false" outlineLevel="0" collapsed="false">
      <c r="A10" s="7" t="s">
        <v>101</v>
      </c>
      <c r="B10" s="39" t="n">
        <v>152500</v>
      </c>
      <c r="G10" s="7" t="s">
        <v>102</v>
      </c>
      <c r="H10" s="40" t="n">
        <f aca="false">H6+H9</f>
        <v>16388.7</v>
      </c>
    </row>
    <row r="11" customFormat="false" ht="15" hidden="false" customHeight="false" outlineLevel="0" collapsed="false">
      <c r="A11" s="7" t="s">
        <v>103</v>
      </c>
      <c r="B11" s="11" t="n">
        <v>0.3</v>
      </c>
      <c r="G11" s="7" t="s">
        <v>104</v>
      </c>
      <c r="H11" s="38" t="n">
        <f aca="false">B4+B5</f>
        <v>300000</v>
      </c>
    </row>
    <row r="12" customFormat="false" ht="15" hidden="false" customHeight="false" outlineLevel="0" collapsed="false">
      <c r="G12" s="7" t="s">
        <v>105</v>
      </c>
      <c r="H12" s="38" t="n">
        <f aca="false">SUMPRODUCT(((H11&gt;A30:A36)*1)*(((H11&lt;B30:B36)*H11)+((H11&gt;=B30:B36)*B30:B36)-A30:A36)*C30:C36)</f>
        <v>5000</v>
      </c>
    </row>
    <row r="13" customFormat="false" ht="15" hidden="false" customHeight="false" outlineLevel="0" collapsed="false">
      <c r="A13" s="3" t="s">
        <v>106</v>
      </c>
      <c r="G13" s="7" t="s">
        <v>107</v>
      </c>
      <c r="H13" s="38" t="n">
        <f aca="false">MIN(B7,B4)*B11</f>
        <v>0</v>
      </c>
    </row>
    <row r="14" customFormat="false" ht="15" hidden="false" customHeight="false" outlineLevel="0" collapsed="false">
      <c r="A14" s="10" t="s">
        <v>108</v>
      </c>
      <c r="B14" s="10" t="s">
        <v>109</v>
      </c>
      <c r="C14" s="10" t="s">
        <v>110</v>
      </c>
      <c r="G14" s="7" t="s">
        <v>111</v>
      </c>
      <c r="H14" s="40" t="n">
        <f aca="false">H12+H13</f>
        <v>5000</v>
      </c>
    </row>
    <row r="15" customFormat="false" ht="15" hidden="false" customHeight="false" outlineLevel="0" collapsed="false">
      <c r="A15" s="39" t="n">
        <v>0</v>
      </c>
      <c r="B15" s="39" t="n">
        <v>8072</v>
      </c>
      <c r="C15" s="14" t="n">
        <v>0.05</v>
      </c>
      <c r="G15" s="7" t="s">
        <v>112</v>
      </c>
      <c r="H15" s="40" t="n">
        <f aca="false">H14-H10</f>
        <v>-11388.7</v>
      </c>
    </row>
    <row r="16" customFormat="false" ht="15" hidden="false" customHeight="false" outlineLevel="0" collapsed="false">
      <c r="A16" s="39" t="n">
        <v>8072</v>
      </c>
      <c r="B16" s="39" t="n">
        <v>12109</v>
      </c>
      <c r="C16" s="14" t="n">
        <v>0.1</v>
      </c>
      <c r="G16" s="7" t="s">
        <v>113</v>
      </c>
      <c r="H16" s="33" t="n">
        <f aca="false">IF(H11&gt;0,H10/H11,0)</f>
        <v>0.054629</v>
      </c>
    </row>
    <row r="17" customFormat="false" ht="15" hidden="false" customHeight="false" outlineLevel="0" collapsed="false">
      <c r="A17" s="39" t="n">
        <v>12109</v>
      </c>
      <c r="B17" s="39" t="n">
        <v>15932</v>
      </c>
      <c r="C17" s="14" t="n">
        <v>0.15</v>
      </c>
      <c r="G17" s="7" t="s">
        <v>114</v>
      </c>
      <c r="H17" s="33" t="n">
        <f aca="false">IF(H11&gt;0,H14/H11,0)</f>
        <v>0.0166666666666667</v>
      </c>
    </row>
    <row r="18" customFormat="false" ht="15" hidden="false" customHeight="false" outlineLevel="0" collapsed="false">
      <c r="A18" s="39" t="n">
        <v>15932</v>
      </c>
      <c r="B18" s="39" t="n">
        <v>552324</v>
      </c>
      <c r="C18" s="14" t="n">
        <v>0.2</v>
      </c>
    </row>
    <row r="19" customFormat="false" ht="15" hidden="false" customHeight="false" outlineLevel="0" collapsed="false">
      <c r="A19" s="39" t="n">
        <v>552324</v>
      </c>
      <c r="B19" s="39" t="n">
        <v>902838</v>
      </c>
      <c r="C19" s="14" t="n">
        <v>0.3</v>
      </c>
      <c r="G19" s="2" t="s">
        <v>115</v>
      </c>
    </row>
    <row r="20" customFormat="false" ht="15" hidden="false" customHeight="false" outlineLevel="0" collapsed="false">
      <c r="A20" s="39" t="n">
        <v>902838</v>
      </c>
      <c r="B20" s="39" t="n">
        <v>1805677</v>
      </c>
      <c r="C20" s="14" t="n">
        <v>0.4</v>
      </c>
    </row>
    <row r="21" customFormat="false" ht="15" hidden="false" customHeight="false" outlineLevel="0" collapsed="false">
      <c r="A21" s="39" t="n">
        <v>1805677</v>
      </c>
      <c r="B21" s="39" t="n">
        <v>1000000000000000</v>
      </c>
      <c r="C21" s="14" t="n">
        <v>0.45</v>
      </c>
    </row>
    <row r="23" customFormat="false" ht="15" hidden="false" customHeight="false" outlineLevel="0" collapsed="false">
      <c r="A23" s="3" t="s">
        <v>116</v>
      </c>
    </row>
    <row r="24" customFormat="false" ht="15" hidden="false" customHeight="false" outlineLevel="0" collapsed="false">
      <c r="A24" s="10" t="s">
        <v>108</v>
      </c>
      <c r="B24" s="10" t="s">
        <v>109</v>
      </c>
      <c r="C24" s="10" t="s">
        <v>110</v>
      </c>
    </row>
    <row r="25" customFormat="false" ht="15" hidden="false" customHeight="false" outlineLevel="0" collapsed="false">
      <c r="A25" s="39" t="n">
        <v>0</v>
      </c>
      <c r="B25" s="39" t="n">
        <v>700000</v>
      </c>
      <c r="C25" s="14" t="n">
        <v>0.2</v>
      </c>
    </row>
    <row r="26" customFormat="false" ht="15" hidden="false" customHeight="false" outlineLevel="0" collapsed="false">
      <c r="A26" s="39" t="n">
        <v>700000</v>
      </c>
      <c r="B26" s="39" t="n">
        <v>1000000000000000</v>
      </c>
      <c r="C26" s="14" t="n">
        <v>0.3125</v>
      </c>
    </row>
    <row r="28" customFormat="false" ht="15" hidden="false" customHeight="false" outlineLevel="0" collapsed="false">
      <c r="A28" s="3" t="s">
        <v>117</v>
      </c>
    </row>
    <row r="29" customFormat="false" ht="15" hidden="false" customHeight="false" outlineLevel="0" collapsed="false">
      <c r="A29" s="10" t="s">
        <v>108</v>
      </c>
      <c r="B29" s="10" t="s">
        <v>109</v>
      </c>
      <c r="C29" s="10" t="s">
        <v>110</v>
      </c>
    </row>
    <row r="30" customFormat="false" ht="15" hidden="false" customHeight="false" outlineLevel="0" collapsed="false">
      <c r="A30" s="39" t="n">
        <v>0</v>
      </c>
      <c r="B30" s="39" t="n">
        <v>200000</v>
      </c>
      <c r="C30" s="14" t="n">
        <v>0</v>
      </c>
    </row>
    <row r="31" customFormat="false" ht="15" hidden="false" customHeight="false" outlineLevel="0" collapsed="false">
      <c r="A31" s="39" t="n">
        <v>200000</v>
      </c>
      <c r="B31" s="39" t="n">
        <v>800000</v>
      </c>
      <c r="C31" s="14" t="n">
        <v>0.05</v>
      </c>
    </row>
    <row r="32" customFormat="false" ht="15" hidden="false" customHeight="false" outlineLevel="0" collapsed="false">
      <c r="A32" s="39" t="n">
        <v>800000</v>
      </c>
      <c r="B32" s="39" t="n">
        <v>1200000</v>
      </c>
      <c r="C32" s="14" t="n">
        <v>0.15</v>
      </c>
    </row>
    <row r="33" customFormat="false" ht="15" hidden="false" customHeight="false" outlineLevel="0" collapsed="false">
      <c r="A33" s="39" t="n">
        <v>1200000</v>
      </c>
      <c r="B33" s="39" t="n">
        <v>2000000</v>
      </c>
      <c r="C33" s="14" t="n">
        <v>0.25</v>
      </c>
    </row>
    <row r="34" customFormat="false" ht="15" hidden="false" customHeight="false" outlineLevel="0" collapsed="false">
      <c r="A34" s="39" t="n">
        <v>2000000</v>
      </c>
      <c r="B34" s="39" t="n">
        <v>4000000</v>
      </c>
      <c r="C34" s="14" t="n">
        <v>0.35</v>
      </c>
    </row>
    <row r="35" customFormat="false" ht="15" hidden="false" customHeight="false" outlineLevel="0" collapsed="false">
      <c r="A35" s="39" t="n">
        <v>4000000</v>
      </c>
      <c r="B35" s="39" t="n">
        <v>6000000</v>
      </c>
      <c r="C35" s="14" t="n">
        <v>0.45</v>
      </c>
    </row>
    <row r="36" customFormat="false" ht="15" hidden="false" customHeight="false" outlineLevel="0" collapsed="false">
      <c r="A36" s="39" t="n">
        <v>6000000</v>
      </c>
      <c r="B36" s="39" t="n">
        <v>1000000000000000</v>
      </c>
      <c r="C36" s="14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7" t="s">
        <v>120</v>
      </c>
      <c r="B4" s="5" t="s">
        <v>121</v>
      </c>
    </row>
    <row r="5" customFormat="false" ht="15" hidden="false" customHeight="false" outlineLevel="0" collapsed="false">
      <c r="A5" s="7" t="s">
        <v>122</v>
      </c>
      <c r="B5" s="12" t="n">
        <v>0.5</v>
      </c>
    </row>
    <row r="6" customFormat="false" ht="15" hidden="false" customHeight="false" outlineLevel="0" collapsed="false">
      <c r="A6" s="7" t="s">
        <v>123</v>
      </c>
      <c r="B6" s="37" t="n">
        <v>2100</v>
      </c>
    </row>
    <row r="8" customFormat="false" ht="23.85" hidden="false" customHeight="false" outlineLevel="0" collapsed="false">
      <c r="A8" s="7" t="s">
        <v>124</v>
      </c>
      <c r="B8" s="41" t="n">
        <v>30400000</v>
      </c>
      <c r="C8" s="4" t="s">
        <v>125</v>
      </c>
    </row>
    <row r="9" customFormat="false" ht="23.85" hidden="false" customHeight="false" outlineLevel="0" collapsed="false">
      <c r="A9" s="7" t="s">
        <v>126</v>
      </c>
      <c r="B9" s="42" t="n">
        <v>1108500000000</v>
      </c>
      <c r="C9" s="4" t="s">
        <v>127</v>
      </c>
    </row>
    <row r="10" customFormat="false" ht="15" hidden="false" customHeight="false" outlineLevel="0" collapsed="false">
      <c r="A10" s="7" t="s">
        <v>128</v>
      </c>
      <c r="B10" s="11" t="n">
        <v>0.78</v>
      </c>
      <c r="C10" s="4" t="s">
        <v>129</v>
      </c>
    </row>
    <row r="12" customFormat="false" ht="15" hidden="false" customHeight="false" outlineLevel="0" collapsed="false">
      <c r="A12" s="7" t="s">
        <v>130</v>
      </c>
      <c r="B12" s="43" t="n">
        <f aca="false">IF(B4="Moyenne",'Modèle IGS'!D10,INDEX('Modèle IGS'!M18:M33,MATCH(VALUE(B4),'Modèle IGS'!A18:A33,0)))</f>
        <v>26.7173144128858</v>
      </c>
    </row>
    <row r="13" customFormat="false" ht="15" hidden="false" customHeight="false" outlineLevel="0" collapsed="false">
      <c r="A13" s="7" t="s">
        <v>131</v>
      </c>
      <c r="B13" s="44" t="n">
        <f aca="false">B12*B5</f>
        <v>13.3586572064429</v>
      </c>
    </row>
    <row r="14" customFormat="false" ht="15" hidden="false" customHeight="false" outlineLevel="0" collapsed="false">
      <c r="A14" s="7" t="s">
        <v>132</v>
      </c>
      <c r="B14" s="45" t="n">
        <f aca="false">B13*1000000000/B8/12</f>
        <v>36.6191261141527</v>
      </c>
    </row>
    <row r="15" customFormat="false" ht="15" hidden="false" customHeight="false" outlineLevel="0" collapsed="false">
      <c r="A15" s="7" t="s">
        <v>133</v>
      </c>
      <c r="B15" s="45" t="n">
        <f aca="false">B13*1000000000*(B6*12/B10)/B9/12</f>
        <v>32.4453004562993</v>
      </c>
    </row>
  </sheetData>
  <dataValidations count="1">
    <dataValidation allowBlank="false" errorStyle="stop" operator="between" showDropDown="false" showErrorMessage="false" showInputMessage="false" sqref="B4" type="list">
      <formula1>"Moyenne,2025,2026,2027,2028,2029,2030,2031,2032,2033,2034,2035,2036,2037,2038,2039,2040"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10" t="s">
        <v>53</v>
      </c>
      <c r="B3" s="10" t="s">
        <v>27</v>
      </c>
      <c r="C3" s="10" t="s">
        <v>135</v>
      </c>
    </row>
    <row r="4" customFormat="false" ht="23.85" hidden="false" customHeight="false" outlineLevel="0" collapsed="false">
      <c r="A4" s="4" t="s">
        <v>136</v>
      </c>
      <c r="B4" s="4" t="s">
        <v>137</v>
      </c>
      <c r="C4" s="46" t="s">
        <v>138</v>
      </c>
    </row>
    <row r="5" customFormat="false" ht="15" hidden="false" customHeight="false" outlineLevel="0" collapsed="false">
      <c r="A5" s="4" t="s">
        <v>76</v>
      </c>
      <c r="B5" s="4" t="s">
        <v>31</v>
      </c>
    </row>
    <row r="6" customFormat="false" ht="15" hidden="false" customHeight="false" outlineLevel="0" collapsed="false">
      <c r="A6" s="4" t="s">
        <v>139</v>
      </c>
      <c r="B6" s="4" t="s">
        <v>140</v>
      </c>
      <c r="C6" s="46" t="s">
        <v>141</v>
      </c>
    </row>
    <row r="7" customFormat="false" ht="15" hidden="false" customHeight="false" outlineLevel="0" collapsed="false">
      <c r="A7" s="4" t="s">
        <v>142</v>
      </c>
      <c r="B7" s="4" t="s">
        <v>143</v>
      </c>
      <c r="C7" s="46" t="s">
        <v>144</v>
      </c>
    </row>
    <row r="8" customFormat="false" ht="15" hidden="false" customHeight="false" outlineLevel="0" collapsed="false">
      <c r="A8" s="4" t="s">
        <v>145</v>
      </c>
      <c r="B8" s="4" t="s">
        <v>146</v>
      </c>
      <c r="C8" s="46" t="s">
        <v>147</v>
      </c>
    </row>
    <row r="9" customFormat="false" ht="15" hidden="false" customHeight="false" outlineLevel="0" collapsed="false">
      <c r="A9" s="4" t="s">
        <v>148</v>
      </c>
      <c r="B9" s="4" t="s">
        <v>149</v>
      </c>
    </row>
    <row r="10" customFormat="false" ht="15" hidden="false" customHeight="false" outlineLevel="0" collapsed="false">
      <c r="A10" s="4" t="s">
        <v>81</v>
      </c>
      <c r="B10" s="4" t="s">
        <v>44</v>
      </c>
    </row>
    <row r="11" customFormat="false" ht="15" hidden="false" customHeight="false" outlineLevel="0" collapsed="false">
      <c r="A11" s="4" t="s">
        <v>150</v>
      </c>
      <c r="B11" s="4" t="s">
        <v>33</v>
      </c>
    </row>
    <row r="12" customFormat="false" ht="15" hidden="false" customHeight="false" outlineLevel="0" collapsed="false">
      <c r="A12" s="4" t="s">
        <v>151</v>
      </c>
      <c r="B12" s="4" t="s">
        <v>35</v>
      </c>
    </row>
    <row r="13" customFormat="false" ht="15" hidden="false" customHeight="false" outlineLevel="0" collapsed="false">
      <c r="A13" s="4" t="s">
        <v>152</v>
      </c>
      <c r="B13" s="4" t="s">
        <v>153</v>
      </c>
    </row>
    <row r="14" customFormat="false" ht="23.85" hidden="false" customHeight="false" outlineLevel="0" collapsed="false">
      <c r="A14" s="4" t="s">
        <v>154</v>
      </c>
      <c r="B14" s="4" t="s">
        <v>155</v>
      </c>
      <c r="C14" s="46" t="s">
        <v>156</v>
      </c>
    </row>
  </sheetData>
  <hyperlinks>
    <hyperlink ref="C4" r:id="rId1" display="https://www.jean-jaures.org/publication/face-a-la-grande-transmission-limpot-sur-les-grandes-successions/"/>
    <hyperlink ref="C6" r:id="rId2" display="https://www.insee.fr/fr/statistiques/8996855"/>
    <hyperlink ref="C7" r:id="rId3" display="https://www.assemblee-nationale.fr/dyn/contenu/visualisation/1087930/file/PLF%202026%20-%20V%26M%20TI%20-%20Evaluations%20des%20recettes.pdf"/>
    <hyperlink ref="C8" r:id="rId4" display="https://www.insee.fr/fr/statistiques/8661938"/>
    <hyperlink ref="C14" r:id="rId5" display="https://www.insee.fr/fr/statistiques/8574681?sommaire=857483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2026-10-01T07:56:39Z</dcterms:created>
  <dc:creator>openpyxl</dc:creator>
  <dc:description/>
  <dc:language>en-US</dc:language>
  <cp:lastModifiedBy/>
  <dcterms:modified xsi:type="dcterms:W3CDTF">2026-10-01T07:56:39Z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