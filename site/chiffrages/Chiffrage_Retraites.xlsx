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amètres" sheetId="2" state="visible" r:id="rId4"/>
    <sheet name="TVA sociale" sheetId="3" state="visible" r:id="rId5"/>
    <sheet name="CSG retraités" sheetId="4" state="visible" r:id="rId6"/>
    <sheet name="Sans impôts" sheetId="5" state="visible" r:id="rId7"/>
    <sheet name="Gel" sheetId="6" state="visible" r:id="rId8"/>
    <sheet name="Plafond" sheetId="7" state="visible" r:id="rId9"/>
    <sheet name="Niveaux de vie" sheetId="8" state="visible" r:id="rId10"/>
    <sheet name="Rendement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<sst xmlns="http://schemas.openxmlformats.org/spreadsheetml/2006/main" count="348" uniqueCount="279">
  <si>
    <t xml:space="preserve">Chiffrage de l'espace Retraites</t>
  </si>
  <si>
    <t xml:space="preserve">La grande transmission : https://bonquentin-collab.github.io/Create-Website/</t>
  </si>
  <si>
    <t xml:space="preserve">Contenu</t>
  </si>
  <si>
    <t xml:space="preserve">Paramètres : données communes à toutes les réformes (CSG, TVA, emploi, salaires, pensions, composition des revenus), avec leurs sources.</t>
  </si>
  <si>
    <t xml:space="preserve">Une feuille par réforme de Retraites › Simuler : TVA sociale, CSG des retraités, Retraites sans impôts, Gel des hautes pensions, Plafond des pensions. Chaque feuille reprend les curseurs du site (cellules jaunes).</t>
  </si>
  <si>
    <t xml:space="preserve">Niveaux de vie : effet de chaque réforme sur le niveau de vie médian des actifs et des retraités, et cumul des réformes choisies (Oui/Non).</t>
  </si>
  <si>
    <t xml:space="preserve">Rendement : pensions reçues pour 100 000 € cotisés pour une génération, calé sur le TRI du COR (calcul trimestre par trimestre).</t>
  </si>
  <si>
    <t xml:space="preserve">Sources : références de chaque donnée.</t>
  </si>
  <si>
    <t xml:space="preserve">Vérification</t>
  </si>
  <si>
    <t xml:space="preserve">Avec les réglages par défaut du site, chaque résultat est identique à celui du site (écart inférieur à 0,01 Md€ ou à 1 €).</t>
  </si>
  <si>
    <t xml:space="preserve">Limites</t>
  </si>
  <si>
    <t xml:space="preserve">Ordres de grandeur, sans effets de comportement. Les hypothèses du site (assiettes de CSG par taux, distribution des pensions portée à 2026, composition des revenus) sont décrites à côté de chaque valeur.</t>
  </si>
  <si>
    <t xml:space="preserve">Légende des couleurs</t>
  </si>
  <si>
    <t xml:space="preserve">Texte bleu sur fond jaune : hypothèse ou donnée d'entrée, à modifier</t>
  </si>
  <si>
    <t xml:space="preserve">Texte bleu sans fond : donnée sourcée (tableau de référence)</t>
  </si>
  <si>
    <t xml:space="preserve">Texte noir : formule</t>
  </si>
  <si>
    <t xml:space="preserve">Texte vert : formule qui reprend une valeur d'une autre feuille</t>
  </si>
  <si>
    <t xml:space="preserve">Fond vert pâle : résultat principal</t>
  </si>
  <si>
    <t xml:space="preserve">Paramètres communs</t>
  </si>
  <si>
    <t xml:space="preserve">Données sourcées ; modifiables (texte bleu).</t>
  </si>
  <si>
    <t xml:space="preserve">Paramètre</t>
  </si>
  <si>
    <t xml:space="preserve">Valeur</t>
  </si>
  <si>
    <t xml:space="preserve">Source</t>
  </si>
  <si>
    <t xml:space="preserve">Personnes en emploi</t>
  </si>
  <si>
    <t xml:space="preserve">Insee, Emploi, chômage, revenus du travail, édition 2025 : 30,4 millions de personnes en emploi fin 2024</t>
  </si>
  <si>
    <t xml:space="preserve">Masse salariale brute (Md€)</t>
  </si>
  <si>
    <t xml:space="preserve">Insee, Comptes de la Nation 2024, tableau 6.205 (salaires et traitements bruts, total branches)</t>
  </si>
  <si>
    <t xml:space="preserve">Ratio salaire net / brut</t>
  </si>
  <si>
    <t xml:space="preserve">Hypothèse du simulateur : environ 22 % de cotisations et contributions salariales</t>
  </si>
  <si>
    <t xml:space="preserve">Taux de CSG sur les revenus d'activité</t>
  </si>
  <si>
    <t xml:space="preserve">Code de la sécurité sociale, art. L136-8</t>
  </si>
  <si>
    <t xml:space="preserve">Assiette de la CSG d'activité (part du brut)</t>
  </si>
  <si>
    <t xml:space="preserve">98,25 % du salaire brut</t>
  </si>
  <si>
    <t xml:space="preserve">Valeur d'un point de CSG sur les revenus d'activité (Md€)</t>
  </si>
  <si>
    <t xml:space="preserve">CCSS, rapport de mai 2026, tableau 1 (recettes 2025) ; valeur du point : calcul du simulateur</t>
  </si>
  <si>
    <t xml:space="preserve">CSG des retraités : Exonéré</t>
  </si>
  <si>
    <t xml:space="preserve">Code de la sécurité sociale, art. L136-8 ; seuils 2025 : service-public.gouv.fr</t>
  </si>
  <si>
    <t xml:space="preserve">CSG des retraités : Taux réduit, 3,8 %</t>
  </si>
  <si>
    <t xml:space="preserve">CSG des retraités : Taux médian, 6,6 %</t>
  </si>
  <si>
    <t xml:space="preserve">CSG des retraités : Taux normal, 8,3 %</t>
  </si>
  <si>
    <t xml:space="preserve">Assiette des pensions au taux normal (Md€, calibrée sur les recettes de CSG)</t>
  </si>
  <si>
    <t xml:space="preserve">Estimation du site, calibrée sur les recettes de CSG 2025 (CCSS, mai 2026)</t>
  </si>
  <si>
    <t xml:space="preserve">Assiette des pensions au taux median (Md€, calibrée sur les recettes de CSG)</t>
  </si>
  <si>
    <t xml:space="preserve">Assiette des pensions au taux reduit (Md€, calibrée sur les recettes de CSG)</t>
  </si>
  <si>
    <t xml:space="preserve">Part des retraités au taux exonere</t>
  </si>
  <si>
    <t xml:space="preserve">CNAV, recueil statistique 2025, retraités du régime général fin 2024</t>
  </si>
  <si>
    <t xml:space="preserve">Part des retraités au taux reduit</t>
  </si>
  <si>
    <t xml:space="preserve">Part des retraités au taux median</t>
  </si>
  <si>
    <t xml:space="preserve">Part des retraités au taux normal</t>
  </si>
  <si>
    <t xml:space="preserve">Rendement net d'un point de TVA, taux normal (Md€)</t>
  </si>
  <si>
    <t xml:space="preserve">DG Trésor, Trésor-Éco n° 371, septembre 2025, tableaux 1 et 2</t>
  </si>
  <si>
    <t xml:space="preserve">Rendement net d'un point de TVA, tous les taux (Md€)</t>
  </si>
  <si>
    <t xml:space="preserve">Perte de pouvoir d'achat par point de TVA, taux normal</t>
  </si>
  <si>
    <t xml:space="preserve">DG Trésor, Trésor-Éco n° 371 (−0,5 % en moyenne par point sur tous les taux ; taux normal au prorata, calcul du simulateur)</t>
  </si>
  <si>
    <t xml:space="preserve">Perte de pouvoir d'achat par point de TVA, tous les taux</t>
  </si>
  <si>
    <t xml:space="preserve">Part des pensions dans le revenu des ménages retraités</t>
  </si>
  <si>
    <t xml:space="preserve">COR, rapport annuel juin 2026, figure 3.8 : pensions 77,8 % du revenu des ménages retraités, revenus d'activité 84,1 % de celui des ménages actifs</t>
  </si>
  <si>
    <t xml:space="preserve">Part des revenus d'activité dans le revenu des ménages actifs</t>
  </si>
  <si>
    <t xml:space="preserve">Masse des pensions (Md€)</t>
  </si>
  <si>
    <t xml:space="preserve">COR, rapport annuel juin 2026</t>
  </si>
  <si>
    <t xml:space="preserve">Dépenses de retraite 2025 (Md€)</t>
  </si>
  <si>
    <t xml:space="preserve">COR, rapport annuel juin 2026, tableau 2.2</t>
  </si>
  <si>
    <t xml:space="preserve">Pension moyenne nette de droit direct (€/mois)</t>
  </si>
  <si>
    <t xml:space="preserve">DREES, édition 2025, pension moyenne de droit direct nette, fin 2023</t>
  </si>
  <si>
    <t xml:space="preserve">TVA sociale : une hausse de TVA dont toute la recette baisse la CSG des actifs</t>
  </si>
  <si>
    <t xml:space="preserve">Hausse de la TVA (points)</t>
  </si>
  <si>
    <t xml:space="preserve">Taux concernés</t>
  </si>
  <si>
    <t xml:space="preserve">Taux normal</t>
  </si>
  <si>
    <t xml:space="preserve">Part de la hausse répercutée dans les prix</t>
  </si>
  <si>
    <t xml:space="preserve">Salaire net mensuel (€)</t>
  </si>
  <si>
    <t xml:space="preserve">Pension nette mensuelle (€)</t>
  </si>
  <si>
    <t xml:space="preserve">Recettes (Md€)</t>
  </si>
  <si>
    <t xml:space="preserve">Baisse de CSG des actifs (points)</t>
  </si>
  <si>
    <t xml:space="preserve">Hausse des prix (part du revenu)</t>
  </si>
  <si>
    <t xml:space="preserve">Actif : gain sur la paie (€/mois)</t>
  </si>
  <si>
    <t xml:space="preserve">Actif : hausse des prix (€/mois)</t>
  </si>
  <si>
    <t xml:space="preserve">Actif : solde (€/mois)</t>
  </si>
  <si>
    <t xml:space="preserve">Retraité : perte la première année (€/mois)</t>
  </si>
  <si>
    <t xml:space="preserve">Effet sur le niveau de vie des actifs</t>
  </si>
  <si>
    <t xml:space="preserve">Effet sur le niveau de vie des retraités</t>
  </si>
  <si>
    <t xml:space="preserve">CSG des retraités alignée sur celle des actifs (9,2 %), recette reversée aux actifs</t>
  </si>
  <si>
    <t xml:space="preserve">Retraités concernés</t>
  </si>
  <si>
    <t xml:space="preserve">Taux normal seulement</t>
  </si>
  <si>
    <t xml:space="preserve">Votre pension brute mensuelle (€)</t>
  </si>
  <si>
    <t xml:space="preserve">Votre taux de CSG actuel</t>
  </si>
  <si>
    <t xml:space="preserve">normal</t>
  </si>
  <si>
    <t xml:space="preserve">Salaire net mensuel d'un actif (€)</t>
  </si>
  <si>
    <t xml:space="preserve">Taux</t>
  </si>
  <si>
    <t xml:space="preserve">Taux actuel</t>
  </si>
  <si>
    <t xml:space="preserve">Assiette (Md€)</t>
  </si>
  <si>
    <t xml:space="preserve">Concerné</t>
  </si>
  <si>
    <t xml:space="preserve">Nouveau taux</t>
  </si>
  <si>
    <t xml:space="preserve">Recette (Md€)</t>
  </si>
  <si>
    <t xml:space="preserve">exonere</t>
  </si>
  <si>
    <t xml:space="preserve">reduit</t>
  </si>
  <si>
    <t xml:space="preserve">median</t>
  </si>
  <si>
    <t xml:space="preserve">Gain d'un actif (€/mois)</t>
  </si>
  <si>
    <t xml:space="preserve">Perte de votre pension (€/mois)</t>
  </si>
  <si>
    <t xml:space="preserve">Retraites financées par leurs seules ressources « logiques »</t>
  </si>
  <si>
    <t xml:space="preserve">Gardée = 1 : la ressource continue de financer les retraites. Les ressources « fixes » sont toujours gardées.</t>
  </si>
  <si>
    <t xml:space="preserve">Part du trou comblée par une baisse des pensions (le reste : hausse des cotisations)</t>
  </si>
  <si>
    <t xml:space="preserve">Argent public libéré reversé aux actifs (Md€ par an)</t>
  </si>
  <si>
    <t xml:space="preserve">Ressource (COR 2026, tableau 2.2)</t>
  </si>
  <si>
    <t xml:space="preserve">Montant (Md€)</t>
  </si>
  <si>
    <t xml:space="preserve">Fixe</t>
  </si>
  <si>
    <t xml:space="preserve">Gardée (1/0)</t>
  </si>
  <si>
    <t xml:space="preserve">Retirée (Md€)</t>
  </si>
  <si>
    <t xml:space="preserve">Cotisations des salariés, des employeurs et des indépendants</t>
  </si>
  <si>
    <t xml:space="preserve">État employeur : la part équivalente à une cotisation normale</t>
  </si>
  <si>
    <t xml:space="preserve">État employeur : le complément qui équilibre le régime des fonctionnaires</t>
  </si>
  <si>
    <t xml:space="preserve">Subventions d'équilibre aux régimes spéciaux (SNCF, RATP, mines, marins…)</t>
  </si>
  <si>
    <t xml:space="preserve">CSG affectée aux retraites</t>
  </si>
  <si>
    <t xml:space="preserve">Forfait social et taxe sur les salaires</t>
  </si>
  <si>
    <t xml:space="preserve">TVA et taxes sur la consommation</t>
  </si>
  <si>
    <t xml:space="preserve">Autres impôts et taxes affectés</t>
  </si>
  <si>
    <t xml:space="preserve">Transferts de la branche famille (trimestres des parents au foyer)</t>
  </si>
  <si>
    <t xml:space="preserve">Transferts de l'assurance chômage (trimestres de chômage)</t>
  </si>
  <si>
    <t xml:space="preserve">Autres transferts</t>
  </si>
  <si>
    <t xml:space="preserve">Produits financiers et autres produits</t>
  </si>
  <si>
    <t xml:space="preserve">Ressources retirées : le trou à combler (Md€)</t>
  </si>
  <si>
    <t xml:space="preserve">Comblé par la baisse des pensions (Md€)</t>
  </si>
  <si>
    <t xml:space="preserve">Comblé par la hausse des cotisations (Md€)</t>
  </si>
  <si>
    <t xml:space="preserve">Baisse des pensions</t>
  </si>
  <si>
    <t xml:space="preserve">Hausse des cotisations (points de salaire brut)</t>
  </si>
  <si>
    <t xml:space="preserve">Pension après (€/mois)</t>
  </si>
  <si>
    <t xml:space="preserve">Perte sur le salaire (€/mois)</t>
  </si>
  <si>
    <t xml:space="preserve">Gel de la revalorisation des pensions au-delà d'un seuil</t>
  </si>
  <si>
    <t xml:space="preserve">Calé sur l'IPP (2026) : pension de base = deux tiers, économie nette des finances publiques, taux d'annuité.</t>
  </si>
  <si>
    <t xml:space="preserve">Seuil de pension totale brute (€/mois)</t>
  </si>
  <si>
    <t xml:space="preserve">Revalorisation non versée</t>
  </si>
  <si>
    <t xml:space="preserve">Ce qui n'est pas revalorisé</t>
  </si>
  <si>
    <t xml:space="preserve">Toute la pension</t>
  </si>
  <si>
    <t xml:space="preserve">Part de la pension venant des régimes de base</t>
  </si>
  <si>
    <t xml:space="preserve">Appliquer aussi aux futurs retraités (taux d'annuité)</t>
  </si>
  <si>
    <t xml:space="preserve">Non</t>
  </si>
  <si>
    <t xml:space="preserve">Votre pension brute mensuelle totale (€)</t>
  </si>
  <si>
    <t xml:space="preserve">Salaire net d'un actif (€/mois)</t>
  </si>
  <si>
    <t xml:space="preserve">Retraités de droit direct</t>
  </si>
  <si>
    <t xml:space="preserve">Drees, effectifs de retraités fin 2024 (17,3 millions de retraités de droit direct, dont 16,4 en France)</t>
  </si>
  <si>
    <t xml:space="preserve">Passage des euros 2020 aux pensions 2026</t>
  </si>
  <si>
    <t xml:space="preserve">Estimation du site (COR, figure 3.25 ; revalorisations 2025-2026)</t>
  </si>
  <si>
    <t xml:space="preserve">Pension moyenne de la tranche ouverte « 4 500 € et plus » (€ 2020)</t>
  </si>
  <si>
    <t xml:space="preserve">Estimation du site, cohérente avec la pension moyenne totale fin 2020</t>
  </si>
  <si>
    <t xml:space="preserve">Économie nette / économie des régimes (finances publiques)</t>
  </si>
  <si>
    <t xml:space="preserve">IPP, Perspectives budgétaires 2027, chapitre 3 : sous-indexation des retraites (Aubert, Tô, Tochev, 2026) : « environ 20 % à 25 % » de moins</t>
  </si>
  <si>
    <t xml:space="preserve">Sortie annuelle des retraités actuels (décès)</t>
  </si>
  <si>
    <t xml:space="preserve">Insee Première n° 2087, Bilan démographique 2025</t>
  </si>
  <si>
    <t xml:space="preserve">Horizon (années après 2026)</t>
  </si>
  <si>
    <t xml:space="preserve">2036</t>
  </si>
  <si>
    <t xml:space="preserve">Taux plein</t>
  </si>
  <si>
    <t xml:space="preserve">Régime général</t>
  </si>
  <si>
    <t xml:space="preserve">Trimestres requis</t>
  </si>
  <si>
    <t xml:space="preserve">Générations nées à partir de 1965</t>
  </si>
  <si>
    <t xml:space="preserve">Prélèvements sur une pension au taux normal (CSG, CRDS, Casa)</t>
  </si>
  <si>
    <t xml:space="preserve">8,3 % + 0,5 % + 0,3 %</t>
  </si>
  <si>
    <t xml:space="preserve">Taux d'épargne des ménages de 70 ans ou plus</t>
  </si>
  <si>
    <t xml:space="preserve">Insee Première n° 1815, 2020 (enquête Budget de famille 2017)</t>
  </si>
  <si>
    <t xml:space="preserve">Résultats</t>
  </si>
  <si>
    <t xml:space="preserve">Part des retraités au-dessus du seuil</t>
  </si>
  <si>
    <t xml:space="preserve">Économie des régimes, première année (Md€)</t>
  </si>
  <si>
    <t xml:space="preserve">Gain net pour les finances publiques (Md€)</t>
  </si>
  <si>
    <t xml:space="preserve">Économie la dernière année de l'horizon (Md€)</t>
  </si>
  <si>
    <t xml:space="preserve">Cumul sur l'horizon, première année comprise (Md€)</t>
  </si>
  <si>
    <t xml:space="preserve">Votre perte (€ brut par mois)</t>
  </si>
  <si>
    <t xml:space="preserve">Valeur d'un trimestre aujourd'hui (part du salaire de référence)</t>
  </si>
  <si>
    <t xml:space="preserve">Valeur d'un trimestre pour un futur retraité concerné</t>
  </si>
  <si>
    <t xml:space="preserve">Votre perte nette (€/mois)</t>
  </si>
  <si>
    <t xml:space="preserve">Épargne mensuelle à cette pension (€)</t>
  </si>
  <si>
    <t xml:space="preserve">La perte en part de cette épargne</t>
  </si>
  <si>
    <t xml:space="preserve">Masse totale des pensions (Md€, contrôle)</t>
  </si>
  <si>
    <t xml:space="preserve">Distribution des pensions totales brutes (Drees, EIR 2020, tableau 5), portée à 2026</t>
  </si>
  <si>
    <t xml:space="preserve">De (€ 2020)</t>
  </si>
  <si>
    <t xml:space="preserve">À (€ 2020)</t>
  </si>
  <si>
    <t xml:space="preserve">Part (%)</t>
  </si>
  <si>
    <t xml:space="preserve">De (€ 2026)</t>
  </si>
  <si>
    <t xml:space="preserve">À (€ 2026)</t>
  </si>
  <si>
    <t xml:space="preserve">Contribution à la moyenne</t>
  </si>
  <si>
    <t xml:space="preserve">Part au-dessus du seuil</t>
  </si>
  <si>
    <t xml:space="preserve">Masse au-dessus</t>
  </si>
  <si>
    <t xml:space="preserve">Masse au-delà du seuil</t>
  </si>
  <si>
    <t xml:space="preserve">et plus</t>
  </si>
  <si>
    <t xml:space="preserve">Total (par retraité, €/mois)</t>
  </si>
  <si>
    <t xml:space="preserve">Plafond des pensions : aucune pension totale au-delà d'un montant choisi</t>
  </si>
  <si>
    <t xml:space="preserve">Plafond de la pension totale brute (€/mois)</t>
  </si>
  <si>
    <t xml:space="preserve">Part de l'économie versée aux actifs (salaires)</t>
  </si>
  <si>
    <t xml:space="preserve">Retraités, facteur 2020 → 2026 et tranche ouverte : repris de la feuille Gel.</t>
  </si>
  <si>
    <t xml:space="preserve">Part des retraités au-dessus du plafond</t>
  </si>
  <si>
    <t xml:space="preserve">Économie annuelle (Md€)</t>
  </si>
  <si>
    <t xml:space="preserve">En part de l'ensemble des pensions</t>
  </si>
  <si>
    <t xml:space="preserve">Distribution des pensions (même source que la feuille Gel)</t>
  </si>
  <si>
    <t xml:space="preserve">Retraités et actifs : niveau de vie médian, et effet des réformes choisies</t>
  </si>
  <si>
    <t xml:space="preserve">Effets cumulés multiplicativement ; hypothèse : l'effet « actifs » s'applique aux personnes en emploi, l'effet « retraités » aux retraités.</t>
  </si>
  <si>
    <t xml:space="preserve">Réforme</t>
  </si>
  <si>
    <t xml:space="preserve">Inclure</t>
  </si>
  <si>
    <t xml:space="preserve">Effet actifs</t>
  </si>
  <si>
    <t xml:space="preserve">Effet retraités</t>
  </si>
  <si>
    <t xml:space="preserve">Facteur actifs</t>
  </si>
  <si>
    <t xml:space="preserve">Facteur retraités</t>
  </si>
  <si>
    <t xml:space="preserve">TVA sociale</t>
  </si>
  <si>
    <t xml:space="preserve">Oui</t>
  </si>
  <si>
    <t xml:space="preserve">CSG des retraités</t>
  </si>
  <si>
    <t xml:space="preserve">Retraites sans impôts</t>
  </si>
  <si>
    <t xml:space="preserve">Gel des hautes pensions</t>
  </si>
  <si>
    <t xml:space="preserve">Plafond des pensions</t>
  </si>
  <si>
    <t xml:space="preserve">Effet cumulé, actifs</t>
  </si>
  <si>
    <t xml:space="preserve">Effet cumulé, retraités</t>
  </si>
  <si>
    <t xml:space="preserve">Niveaux de vie médians 2024 (€ 2024 par an)</t>
  </si>
  <si>
    <t xml:space="preserve">Avant</t>
  </si>
  <si>
    <t xml:space="preserve">Après</t>
  </si>
  <si>
    <t xml:space="preserve">Par mois avant</t>
  </si>
  <si>
    <t xml:space="preserve">Par mois après</t>
  </si>
  <si>
    <t xml:space="preserve">Retraités</t>
  </si>
  <si>
    <t xml:space="preserve">Retraités / en emploi</t>
  </si>
  <si>
    <t xml:space="preserve">Série 1996-2024 (Insee, ERFS, € constants 2024, médianes annuelles)</t>
  </si>
  <si>
    <t xml:space="preserve">Année</t>
  </si>
  <si>
    <t xml:space="preserve">Ensemble</t>
  </si>
  <si>
    <t xml:space="preserve">En emploi</t>
  </si>
  <si>
    <t xml:space="preserve">Pensions reçues pour 100 000 € cotisés, selon la génération</t>
  </si>
  <si>
    <t xml:space="preserve">Modèle du site calé sur le TRI du COR (cas type non-cadre, carrière complète), trimestre par trimestre. Valeurs actualisées en plus de l'évolution des salaires.</t>
  </si>
  <si>
    <t xml:space="preserve">Génération (année de naissance)</t>
  </si>
  <si>
    <t xml:space="preserve">Taux d'actualisation (en plus des salaires)</t>
  </si>
  <si>
    <t xml:space="preserve">Décrochage annuel des pensions par rapport aux salaires</t>
  </si>
  <si>
    <t xml:space="preserve">Compter aussi les impôts affectés aux retraites</t>
  </si>
  <si>
    <t xml:space="preserve">Part des ressources hors cotisations (COR)</t>
  </si>
  <si>
    <t xml:space="preserve">Part payée par les retraités</t>
  </si>
  <si>
    <t xml:space="preserve">Génération</t>
  </si>
  <si>
    <t xml:space="preserve">TRI (COR)</t>
  </si>
  <si>
    <t xml:space="preserve">Durée de retraite</t>
  </si>
  <si>
    <t xml:space="preserve">Espérance de vie à 60 ans</t>
  </si>
  <si>
    <t xml:space="preserve">Durée de carrière</t>
  </si>
  <si>
    <t xml:space="preserve">Part</t>
  </si>
  <si>
    <t xml:space="preserve">Calendrier et résultat</t>
  </si>
  <si>
    <t xml:space="preserve">TRI de la génération (COR)</t>
  </si>
  <si>
    <t xml:space="preserve">Âge de départ</t>
  </si>
  <si>
    <t xml:space="preserve">Âge de début de carrière</t>
  </si>
  <si>
    <t xml:space="preserve">Âge de fin de retraite</t>
  </si>
  <si>
    <t xml:space="preserve">Calage : pension / cotisation (au TRI du COR)</t>
  </si>
  <si>
    <t xml:space="preserve">Pensions reçues pour 100 000 € cotisés (valeur actualisée)</t>
  </si>
  <si>
    <t xml:space="preserve">Grille trimestrielle (pas de 0,25 an ; une ligne compte si l'âge est dans la période)</t>
  </si>
  <si>
    <t xml:space="preserve">Cotisation : âge</t>
  </si>
  <si>
    <t xml:space="preserve">Compte</t>
  </si>
  <si>
    <t xml:space="preserve">Mult. impôts</t>
  </si>
  <si>
    <t xml:space="preserve">Poids au TRI</t>
  </si>
  <si>
    <t xml:space="preserve">Poids actualisé</t>
  </si>
  <si>
    <t xml:space="preserve">Pension : âge</t>
  </si>
  <si>
    <t xml:space="preserve">Sources</t>
  </si>
  <si>
    <t xml:space="preserve">Donnée</t>
  </si>
  <si>
    <t xml:space="preserve">Lien</t>
  </si>
  <si>
    <t xml:space="preserve">Financement et dépenses des retraites</t>
  </si>
  <si>
    <t xml:space="preserve">https://www.cor-retraites.fr/sites/default/files/2026-06/RA_2026_def.pdf</t>
  </si>
  <si>
    <t xml:space="preserve">CSG, barème des retraités</t>
  </si>
  <si>
    <t xml:space="preserve">https://www.service-public.gouv.fr/particuliers/vosdroits/F2971</t>
  </si>
  <si>
    <t xml:space="preserve">Recettes de CSG d'activité</t>
  </si>
  <si>
    <t xml:space="preserve">https://www.securite-sociale.fr/files/live/sites/SSFR/files/medias/CCSS/2026/CCSS%20mai%202026_assembl%C3%A9_V2.pdf</t>
  </si>
  <si>
    <t xml:space="preserve">TVA : rendement et effet sur les prix</t>
  </si>
  <si>
    <t xml:space="preserve">https://www.tresor.economie.gouv.fr/Articles/2025/09/25/analyse-de-la-composition-des-recettes-de-tva</t>
  </si>
  <si>
    <t xml:space="preserve">Distribution des pensions</t>
  </si>
  <si>
    <t xml:space="preserve">Drees, échantillon interrégimes de retraités (EIR) 2020, tableau 5</t>
  </si>
  <si>
    <t xml:space="preserve">https://data.drees.solidarites-sante.gouv.fr/explore/dataset/4178_distribution-des-pensions-mensuelles/information/</t>
  </si>
  <si>
    <t xml:space="preserve">https://drees.solidarites-sante.gouv.fr/communique-de-presse-jeux-de-donnees/jeux-de-donnees/effectifs-de-retraites-et-montants-des</t>
  </si>
  <si>
    <t xml:space="preserve">Sous-indexation, taux d'annuité</t>
  </si>
  <si>
    <t xml:space="preserve">IPP, Perspectives budgétaires 2027, chapitre 3 : sous-indexation des retraites (Aubert, Tô, Tochev, 2026)</t>
  </si>
  <si>
    <t xml:space="preserve">https://www.ipp.eu/wp-content/uploads/2026/07/Chapitre_Desindexation_retraite___Rapport_Perspectives_Budgetaires_2027-4.pdf</t>
  </si>
  <si>
    <t xml:space="preserve">Décès</t>
  </si>
  <si>
    <t xml:space="preserve">https://www.insee.fr/fr/statistiques/8719824</t>
  </si>
  <si>
    <t xml:space="preserve">Épargne des ménages</t>
  </si>
  <si>
    <t xml:space="preserve">https://www.insee.fr/fr/statistiques/4764600</t>
  </si>
  <si>
    <t xml:space="preserve">Niveaux de vie</t>
  </si>
  <si>
    <t xml:space="preserve">Insee, niveau de vie selon le statut d'activité (ERFS), euros constants 2024</t>
  </si>
  <si>
    <t xml:space="preserve">https://www.insee.fr/fr/statistiques/2415628</t>
  </si>
  <si>
    <t xml:space="preserve">Composition des revenus</t>
  </si>
  <si>
    <t xml:space="preserve">Rendement par génération</t>
  </si>
  <si>
    <t xml:space="preserve">COR, rapport annuel de juin 2026</t>
  </si>
  <si>
    <t xml:space="preserve">Impôts affectés aux retraites</t>
  </si>
  <si>
    <t xml:space="preserve">COR, « L'état du financement du système de retraite », séance du 17 octobre 2019 ; COR 2026, figure 2.11</t>
  </si>
  <si>
    <t xml:space="preserve">https://www.cor-retraites.fr/sites/default/files/2019-11/Doc_2_%C3%A9tat_financement_0.pdf</t>
  </si>
  <si>
    <t xml:space="preserve">Emploi, salaires</t>
  </si>
  <si>
    <t xml:space="preserve">Insee, Emploi, chômage, revenus du travail, édition 2025 : 30,4 millions de personnes en emploi fin 2024 ; Insee, Comptes de la Nation 2024, tableau 6.205 (salaires et traitements bruts, total branches)</t>
  </si>
  <si>
    <t xml:space="preserve">https://www.insee.fr/fr/statistiques/8574681?sommaire=8574832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</si>
</sst>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;\-#,##0;\-"/>
    <numFmt numFmtId="166" formatCode="#,##0.0;\-#,##0.0;\-"/>
    <numFmt numFmtId="167" formatCode="0.0%;\-0.0%;\-"/>
    <numFmt numFmtId="168" formatCode="0.00%;\-0.00%;\-"/>
    <numFmt numFmtId="169" formatCode="0.000%"/>
    <numFmt numFmtId="170" formatCode="#,##0&quot; €&quot;;\-#,##0&quot; €&quot;;\-"/>
    <numFmt numFmtId="171" formatCode="0.0"/>
    <numFmt numFmtId="172" formatCode="#,##0.0&quot; Md€&quot;;\-#,##0.0&quot; Md€&quot;;\-"/>
    <numFmt numFmtId="173" formatCode="0.00"/>
    <numFmt numFmtId="174" formatCode="#,##0.00&quot; €&quot;;\-#,##0.00&quot; €&quot;;\-"/>
    <numFmt numFmtId="175" formatCode="0"/>
    <numFmt numFmtId="176" formatCode="0.000;\-0.000;\-"/>
    <numFmt numFmtId="177" formatCode="#,##0.00&quot; Md€&quot;;\-#,##0.00&quot; Md€&quot;;\-"/>
    <numFmt numFmtId="178" formatCode="0.000"/>
    <numFmt numFmtId="179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0E4"/>
        <bgColor rgb="FFFFFFFF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0E4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cor-retraites.fr/sites/default/files/2026-06/RA_2026_def.pdf" TargetMode="External"/><Relationship Id="rId2" Type="http://schemas.openxmlformats.org/officeDocument/2006/relationships/hyperlink" Target="https://www.service-public.gouv.fr/particuliers/vosdroits/F2971" TargetMode="External"/><Relationship Id="rId3" Type="http://schemas.openxmlformats.org/officeDocument/2006/relationships/hyperlink" Target="https://www.securite-sociale.fr/files/live/sites/SSFR/files/medias/CCSS/2026/CCSS%20mai%202026_assembl&#233;_V2.pdf" TargetMode="External"/><Relationship Id="rId4" Type="http://schemas.openxmlformats.org/officeDocument/2006/relationships/hyperlink" Target="https://www.tresor.economie.gouv.fr/Articles/2025/09/25/analyse-de-la-composition-des-recettes-de-tva" TargetMode="External"/><Relationship Id="rId5" Type="http://schemas.openxmlformats.org/officeDocument/2006/relationships/hyperlink" Target="https://data.drees.solidarites-sante.gouv.fr/explore/dataset/4178_distribution-des-pensions-mensuelles/information/" TargetMode="External"/><Relationship Id="rId6" Type="http://schemas.openxmlformats.org/officeDocument/2006/relationships/hyperlink" Target="https://drees.solidarites-sante.gouv.fr/communique-de-presse-jeux-de-donnees/jeux-de-donnees/effectifs-de-retraites-et-montants-des" TargetMode="External"/><Relationship Id="rId7" Type="http://schemas.openxmlformats.org/officeDocument/2006/relationships/hyperlink" Target="https://www.ipp.eu/wp-content/uploads/2026/07/Chapitre_Desindexation_retraite___Rapport_Perspectives_Budgetaires_2027-4.pdf" TargetMode="External"/><Relationship Id="rId8" Type="http://schemas.openxmlformats.org/officeDocument/2006/relationships/hyperlink" Target="https://www.insee.fr/fr/statistiques/8719824" TargetMode="External"/><Relationship Id="rId9" Type="http://schemas.openxmlformats.org/officeDocument/2006/relationships/hyperlink" Target="https://www.insee.fr/fr/statistiques/4764600" TargetMode="External"/><Relationship Id="rId10" Type="http://schemas.openxmlformats.org/officeDocument/2006/relationships/hyperlink" Target="https://www.insee.fr/fr/statistiques/2415628" TargetMode="External"/><Relationship Id="rId11" Type="http://schemas.openxmlformats.org/officeDocument/2006/relationships/hyperlink" Target="https://www.cor-retraites.fr/sites/default/files/2026-06/RA_2026_def.pdf" TargetMode="External"/><Relationship Id="rId12" Type="http://schemas.openxmlformats.org/officeDocument/2006/relationships/hyperlink" Target="https://www.cor-retraites.fr/sites/default/files/2019-11/Doc_2_&#233;tat_financement_0.pdf" TargetMode="External"/><Relationship Id="rId13" Type="http://schemas.openxmlformats.org/officeDocument/2006/relationships/hyperlink" Target="https://www.insee.fr/fr/statistiques/8574681?sommaire=857483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23.8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3" t="s">
        <v>10</v>
      </c>
    </row>
    <row r="13" customFormat="false" ht="23.85" hidden="false" customHeight="false" outlineLevel="0" collapsed="false">
      <c r="A13" s="4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6" t="s">
        <v>14</v>
      </c>
    </row>
    <row r="18" customFormat="false" ht="15" hidden="false" customHeight="false" outlineLevel="0" collapsed="false">
      <c r="A18" s="7" t="s">
        <v>15</v>
      </c>
    </row>
    <row r="19" customFormat="false" ht="15" hidden="false" customHeight="false" outlineLevel="0" collapsed="false">
      <c r="A19" s="8" t="s">
        <v>16</v>
      </c>
    </row>
    <row r="20" customFormat="false" ht="15" hidden="false" customHeight="false" outlineLevel="0" collapsed="false">
      <c r="A20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10" t="s">
        <v>20</v>
      </c>
      <c r="B4" s="10" t="s">
        <v>21</v>
      </c>
      <c r="C4" s="10" t="s">
        <v>22</v>
      </c>
    </row>
    <row r="5" customFormat="false" ht="15" hidden="false" customHeight="false" outlineLevel="0" collapsed="false">
      <c r="A5" s="4" t="s">
        <v>23</v>
      </c>
      <c r="B5" s="11" t="n">
        <v>30400000</v>
      </c>
      <c r="C5" s="4" t="s">
        <v>24</v>
      </c>
    </row>
    <row r="6" customFormat="false" ht="15" hidden="false" customHeight="false" outlineLevel="0" collapsed="false">
      <c r="A6" s="4" t="s">
        <v>25</v>
      </c>
      <c r="B6" s="12" t="n">
        <v>1108.5</v>
      </c>
      <c r="C6" s="4" t="s">
        <v>26</v>
      </c>
    </row>
    <row r="7" customFormat="false" ht="15" hidden="false" customHeight="false" outlineLevel="0" collapsed="false">
      <c r="A7" s="4" t="s">
        <v>27</v>
      </c>
      <c r="B7" s="13" t="n">
        <v>0.78</v>
      </c>
      <c r="C7" s="4" t="s">
        <v>28</v>
      </c>
    </row>
    <row r="8" customFormat="false" ht="15" hidden="false" customHeight="false" outlineLevel="0" collapsed="false">
      <c r="A8" s="4" t="s">
        <v>29</v>
      </c>
      <c r="B8" s="13" t="n">
        <v>0.092</v>
      </c>
      <c r="C8" s="4" t="s">
        <v>30</v>
      </c>
    </row>
    <row r="9" customFormat="false" ht="15" hidden="false" customHeight="false" outlineLevel="0" collapsed="false">
      <c r="A9" s="4" t="s">
        <v>31</v>
      </c>
      <c r="B9" s="14" t="n">
        <v>0.9825</v>
      </c>
      <c r="C9" s="4" t="s">
        <v>32</v>
      </c>
    </row>
    <row r="10" customFormat="false" ht="15" hidden="false" customHeight="false" outlineLevel="0" collapsed="false">
      <c r="A10" s="4" t="s">
        <v>33</v>
      </c>
      <c r="B10" s="12" t="n">
        <v>12</v>
      </c>
      <c r="C10" s="4" t="s">
        <v>34</v>
      </c>
    </row>
    <row r="11" customFormat="false" ht="15" hidden="false" customHeight="false" outlineLevel="0" collapsed="false">
      <c r="A11" s="4" t="s">
        <v>35</v>
      </c>
      <c r="B11" s="13" t="n">
        <v>0</v>
      </c>
      <c r="C11" s="4" t="s">
        <v>36</v>
      </c>
    </row>
    <row r="12" customFormat="false" ht="15" hidden="false" customHeight="false" outlineLevel="0" collapsed="false">
      <c r="A12" s="4" t="s">
        <v>37</v>
      </c>
      <c r="B12" s="13" t="n">
        <v>0.038</v>
      </c>
      <c r="C12" s="4" t="s">
        <v>36</v>
      </c>
    </row>
    <row r="13" customFormat="false" ht="15" hidden="false" customHeight="false" outlineLevel="0" collapsed="false">
      <c r="A13" s="4" t="s">
        <v>38</v>
      </c>
      <c r="B13" s="13" t="n">
        <v>0.066</v>
      </c>
      <c r="C13" s="4" t="s">
        <v>36</v>
      </c>
    </row>
    <row r="14" customFormat="false" ht="15" hidden="false" customHeight="false" outlineLevel="0" collapsed="false">
      <c r="A14" s="4" t="s">
        <v>39</v>
      </c>
      <c r="B14" s="13" t="n">
        <v>0.083</v>
      </c>
      <c r="C14" s="4" t="s">
        <v>36</v>
      </c>
    </row>
    <row r="15" customFormat="false" ht="15" hidden="false" customHeight="false" outlineLevel="0" collapsed="false">
      <c r="A15" s="4" t="s">
        <v>40</v>
      </c>
      <c r="B15" s="12" t="n">
        <v>225</v>
      </c>
      <c r="C15" s="4" t="s">
        <v>41</v>
      </c>
    </row>
    <row r="16" customFormat="false" ht="15" hidden="false" customHeight="false" outlineLevel="0" collapsed="false">
      <c r="A16" s="4" t="s">
        <v>42</v>
      </c>
      <c r="B16" s="12" t="n">
        <v>87</v>
      </c>
      <c r="C16" s="4" t="s">
        <v>41</v>
      </c>
    </row>
    <row r="17" customFormat="false" ht="15" hidden="false" customHeight="false" outlineLevel="0" collapsed="false">
      <c r="A17" s="4" t="s">
        <v>43</v>
      </c>
      <c r="B17" s="12" t="n">
        <v>27</v>
      </c>
      <c r="C17" s="4" t="s">
        <v>41</v>
      </c>
    </row>
    <row r="18" customFormat="false" ht="15" hidden="false" customHeight="false" outlineLevel="0" collapsed="false">
      <c r="A18" s="4" t="s">
        <v>44</v>
      </c>
      <c r="B18" s="13" t="n">
        <v>0.29</v>
      </c>
      <c r="C18" s="4" t="s">
        <v>45</v>
      </c>
    </row>
    <row r="19" customFormat="false" ht="15" hidden="false" customHeight="false" outlineLevel="0" collapsed="false">
      <c r="A19" s="4" t="s">
        <v>46</v>
      </c>
      <c r="B19" s="13" t="n">
        <v>0.15</v>
      </c>
      <c r="C19" s="4" t="s">
        <v>45</v>
      </c>
    </row>
    <row r="20" customFormat="false" ht="15" hidden="false" customHeight="false" outlineLevel="0" collapsed="false">
      <c r="A20" s="4" t="s">
        <v>47</v>
      </c>
      <c r="B20" s="13" t="n">
        <v>0.27</v>
      </c>
      <c r="C20" s="4" t="s">
        <v>45</v>
      </c>
    </row>
    <row r="21" customFormat="false" ht="15" hidden="false" customHeight="false" outlineLevel="0" collapsed="false">
      <c r="A21" s="4" t="s">
        <v>48</v>
      </c>
      <c r="B21" s="13" t="n">
        <v>0.29</v>
      </c>
      <c r="C21" s="4" t="s">
        <v>45</v>
      </c>
    </row>
    <row r="22" customFormat="false" ht="15" hidden="false" customHeight="false" outlineLevel="0" collapsed="false">
      <c r="A22" s="4" t="s">
        <v>49</v>
      </c>
      <c r="B22" s="12" t="n">
        <v>7.5</v>
      </c>
      <c r="C22" s="4" t="s">
        <v>50</v>
      </c>
    </row>
    <row r="23" customFormat="false" ht="15" hidden="false" customHeight="false" outlineLevel="0" collapsed="false">
      <c r="A23" s="4" t="s">
        <v>51</v>
      </c>
      <c r="B23" s="12" t="n">
        <v>11.4</v>
      </c>
      <c r="C23" s="4" t="s">
        <v>50</v>
      </c>
    </row>
    <row r="24" customFormat="false" ht="15" hidden="false" customHeight="false" outlineLevel="0" collapsed="false">
      <c r="A24" s="4" t="s">
        <v>52</v>
      </c>
      <c r="B24" s="15" t="n">
        <v>0.00324817518248175</v>
      </c>
      <c r="C24" s="4" t="s">
        <v>53</v>
      </c>
    </row>
    <row r="25" customFormat="false" ht="15" hidden="false" customHeight="false" outlineLevel="0" collapsed="false">
      <c r="A25" s="4" t="s">
        <v>54</v>
      </c>
      <c r="B25" s="15" t="n">
        <v>0.005</v>
      </c>
      <c r="C25" s="4" t="s">
        <v>53</v>
      </c>
    </row>
    <row r="26" customFormat="false" ht="23.85" hidden="false" customHeight="false" outlineLevel="0" collapsed="false">
      <c r="A26" s="4" t="s">
        <v>55</v>
      </c>
      <c r="B26" s="13" t="n">
        <v>0.778</v>
      </c>
      <c r="C26" s="4" t="s">
        <v>56</v>
      </c>
    </row>
    <row r="27" customFormat="false" ht="23.85" hidden="false" customHeight="false" outlineLevel="0" collapsed="false">
      <c r="A27" s="4" t="s">
        <v>57</v>
      </c>
      <c r="B27" s="13" t="n">
        <v>0.841</v>
      </c>
      <c r="C27" s="4" t="s">
        <v>56</v>
      </c>
    </row>
    <row r="28" customFormat="false" ht="15" hidden="false" customHeight="false" outlineLevel="0" collapsed="false">
      <c r="A28" s="4" t="s">
        <v>58</v>
      </c>
      <c r="B28" s="12" t="n">
        <v>400</v>
      </c>
      <c r="C28" s="4" t="s">
        <v>59</v>
      </c>
    </row>
    <row r="29" customFormat="false" ht="15" hidden="false" customHeight="false" outlineLevel="0" collapsed="false">
      <c r="A29" s="4" t="s">
        <v>60</v>
      </c>
      <c r="B29" s="12" t="n">
        <v>422.2</v>
      </c>
      <c r="C29" s="4" t="s">
        <v>61</v>
      </c>
    </row>
    <row r="30" customFormat="false" ht="15" hidden="false" customHeight="false" outlineLevel="0" collapsed="false">
      <c r="A30" s="4" t="s">
        <v>62</v>
      </c>
      <c r="B30" s="16" t="n">
        <v>1541</v>
      </c>
      <c r="C30" s="4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64</v>
      </c>
    </row>
    <row r="4" customFormat="false" ht="15" hidden="false" customHeight="false" outlineLevel="0" collapsed="false">
      <c r="A4" s="4" t="s">
        <v>65</v>
      </c>
      <c r="B4" s="17" t="n">
        <v>2</v>
      </c>
    </row>
    <row r="5" customFormat="false" ht="15" hidden="false" customHeight="false" outlineLevel="0" collapsed="false">
      <c r="A5" s="4" t="s">
        <v>66</v>
      </c>
      <c r="B5" s="5" t="s">
        <v>67</v>
      </c>
    </row>
    <row r="6" customFormat="false" ht="15" hidden="false" customHeight="false" outlineLevel="0" collapsed="false">
      <c r="A6" s="4" t="s">
        <v>68</v>
      </c>
      <c r="B6" s="18" t="n">
        <v>1</v>
      </c>
    </row>
    <row r="7" customFormat="false" ht="15" hidden="false" customHeight="false" outlineLevel="0" collapsed="false">
      <c r="A7" s="4" t="s">
        <v>69</v>
      </c>
      <c r="B7" s="19" t="n">
        <v>2100</v>
      </c>
    </row>
    <row r="8" customFormat="false" ht="15" hidden="false" customHeight="false" outlineLevel="0" collapsed="false">
      <c r="A8" s="4" t="s">
        <v>70</v>
      </c>
      <c r="B8" s="19" t="n">
        <v>1541</v>
      </c>
    </row>
    <row r="10" customFormat="false" ht="15" hidden="false" customHeight="false" outlineLevel="0" collapsed="false">
      <c r="A10" s="4" t="s">
        <v>71</v>
      </c>
      <c r="B10" s="20" t="n">
        <f aca="false">$B$4*IF($B$5="Taux normal",Paramètres!$B$22,Paramètres!$B$23)</f>
        <v>15</v>
      </c>
    </row>
    <row r="11" customFormat="false" ht="15" hidden="false" customHeight="false" outlineLevel="0" collapsed="false">
      <c r="A11" s="4" t="s">
        <v>72</v>
      </c>
      <c r="B11" s="21" t="n">
        <f aca="false">MIN(Paramètres!$B$8*100,B10/Paramètres!$B$10)</f>
        <v>1.25</v>
      </c>
    </row>
    <row r="12" customFormat="false" ht="15" hidden="false" customHeight="false" outlineLevel="0" collapsed="false">
      <c r="A12" s="4" t="s">
        <v>73</v>
      </c>
      <c r="B12" s="22" t="n">
        <f aca="false">$B$4*IF($B$5="Taux normal",Paramètres!$B$24,Paramètres!$B$25)*$B$6</f>
        <v>0.0064963503649635</v>
      </c>
    </row>
    <row r="13" customFormat="false" ht="15" hidden="false" customHeight="false" outlineLevel="0" collapsed="false">
      <c r="A13" s="4" t="s">
        <v>74</v>
      </c>
      <c r="B13" s="23" t="n">
        <f aca="false">($B$7/Paramètres!$B$7)*Paramètres!$B$9*(B11/100)</f>
        <v>33.0649038461539</v>
      </c>
    </row>
    <row r="14" customFormat="false" ht="15" hidden="false" customHeight="false" outlineLevel="0" collapsed="false">
      <c r="A14" s="4" t="s">
        <v>75</v>
      </c>
      <c r="B14" s="23" t="n">
        <f aca="false">$B$7*B12</f>
        <v>13.6423357664234</v>
      </c>
    </row>
    <row r="15" customFormat="false" ht="15" hidden="false" customHeight="false" outlineLevel="0" collapsed="false">
      <c r="A15" s="4" t="s">
        <v>76</v>
      </c>
      <c r="B15" s="24" t="n">
        <f aca="false">B13-B14</f>
        <v>19.4225680797305</v>
      </c>
    </row>
    <row r="16" customFormat="false" ht="15" hidden="false" customHeight="false" outlineLevel="0" collapsed="false">
      <c r="A16" s="4" t="s">
        <v>77</v>
      </c>
      <c r="B16" s="24" t="n">
        <f aca="false">$B$8*B12</f>
        <v>10.0108759124088</v>
      </c>
    </row>
    <row r="17" customFormat="false" ht="15" hidden="false" customHeight="false" outlineLevel="0" collapsed="false">
      <c r="A17" s="4" t="s">
        <v>78</v>
      </c>
      <c r="B17" s="22" t="n">
        <f aca="false">Paramètres!$B$27*(Paramètres!$B$9*B11/100/Paramètres!$B$7)-B12</f>
        <v>0.00674535636580573</v>
      </c>
    </row>
    <row r="18" customFormat="false" ht="15" hidden="false" customHeight="false" outlineLevel="0" collapsed="false">
      <c r="A18" s="4" t="s">
        <v>79</v>
      </c>
      <c r="B18" s="22" t="n">
        <f aca="false">-B12</f>
        <v>-0.0064963503649635</v>
      </c>
    </row>
  </sheetData>
  <dataValidations count="1">
    <dataValidation allowBlank="false" errorStyle="stop" operator="between" showDropDown="false" showErrorMessage="false" showInputMessage="false" sqref="B5" type="list">
      <formula1>"Taux normal,Tous les taux"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80</v>
      </c>
    </row>
    <row r="4" customFormat="false" ht="15" hidden="false" customHeight="false" outlineLevel="0" collapsed="false">
      <c r="A4" s="4" t="s">
        <v>81</v>
      </c>
      <c r="B4" s="5" t="s">
        <v>82</v>
      </c>
    </row>
    <row r="5" customFormat="false" ht="15" hidden="false" customHeight="false" outlineLevel="0" collapsed="false">
      <c r="A5" s="4" t="s">
        <v>83</v>
      </c>
      <c r="B5" s="19" t="n">
        <v>1800</v>
      </c>
    </row>
    <row r="6" customFormat="false" ht="15" hidden="false" customHeight="false" outlineLevel="0" collapsed="false">
      <c r="A6" s="4" t="s">
        <v>84</v>
      </c>
      <c r="B6" s="5" t="s">
        <v>85</v>
      </c>
    </row>
    <row r="7" customFormat="false" ht="15" hidden="false" customHeight="false" outlineLevel="0" collapsed="false">
      <c r="A7" s="4" t="s">
        <v>86</v>
      </c>
      <c r="B7" s="19" t="n">
        <v>2100</v>
      </c>
    </row>
    <row r="9" customFormat="false" ht="15" hidden="false" customHeight="false" outlineLevel="0" collapsed="false">
      <c r="A9" s="10" t="s">
        <v>87</v>
      </c>
      <c r="B9" s="10" t="s">
        <v>88</v>
      </c>
      <c r="C9" s="10" t="s">
        <v>89</v>
      </c>
      <c r="D9" s="10" t="s">
        <v>90</v>
      </c>
      <c r="E9" s="10" t="s">
        <v>91</v>
      </c>
      <c r="F9" s="10" t="s">
        <v>92</v>
      </c>
    </row>
    <row r="10" customFormat="false" ht="15" hidden="false" customHeight="false" outlineLevel="0" collapsed="false">
      <c r="A10" s="7" t="s">
        <v>93</v>
      </c>
      <c r="B10" s="25" t="n">
        <f aca="false">Paramètres!$B$11</f>
        <v>0</v>
      </c>
      <c r="C10" s="26" t="n">
        <f aca="false">0</f>
        <v>0</v>
      </c>
      <c r="D10" s="27" t="n">
        <f aca="false">IF($B$4="Taux normal seulement",IF(A10="normal",1,0),IF(A10="exonere",0,1))</f>
        <v>0</v>
      </c>
      <c r="E10" s="28" t="n">
        <f aca="false">IF(D10=1,Paramètres!$B$8,B10)</f>
        <v>0</v>
      </c>
      <c r="F10" s="29" t="n">
        <f aca="false">D10*C10*(Paramètres!$B$8-B10)</f>
        <v>0</v>
      </c>
    </row>
    <row r="11" customFormat="false" ht="15" hidden="false" customHeight="false" outlineLevel="0" collapsed="false">
      <c r="A11" s="7" t="s">
        <v>94</v>
      </c>
      <c r="B11" s="25" t="n">
        <f aca="false">Paramètres!$B$12</f>
        <v>0.038</v>
      </c>
      <c r="C11" s="30" t="n">
        <f aca="false">Paramètres!$B$17</f>
        <v>27</v>
      </c>
      <c r="D11" s="27" t="n">
        <f aca="false">IF($B$4="Taux normal seulement",IF(A11="normal",1,0),IF(A11="exonere",0,1))</f>
        <v>0</v>
      </c>
      <c r="E11" s="28" t="n">
        <f aca="false">IF(D11=1,Paramètres!$B$8,B11)</f>
        <v>0.038</v>
      </c>
      <c r="F11" s="29" t="n">
        <f aca="false">D11*C11*(Paramètres!$B$8-B11)</f>
        <v>0</v>
      </c>
    </row>
    <row r="12" customFormat="false" ht="15" hidden="false" customHeight="false" outlineLevel="0" collapsed="false">
      <c r="A12" s="7" t="s">
        <v>95</v>
      </c>
      <c r="B12" s="25" t="n">
        <f aca="false">Paramètres!$B$13</f>
        <v>0.066</v>
      </c>
      <c r="C12" s="30" t="n">
        <f aca="false">Paramètres!$B$16</f>
        <v>87</v>
      </c>
      <c r="D12" s="27" t="n">
        <f aca="false">IF($B$4="Taux normal seulement",IF(A12="normal",1,0),IF(A12="exonere",0,1))</f>
        <v>0</v>
      </c>
      <c r="E12" s="28" t="n">
        <f aca="false">IF(D12=1,Paramètres!$B$8,B12)</f>
        <v>0.066</v>
      </c>
      <c r="F12" s="29" t="n">
        <f aca="false">D12*C12*(Paramètres!$B$8-B12)</f>
        <v>0</v>
      </c>
    </row>
    <row r="13" customFormat="false" ht="15" hidden="false" customHeight="false" outlineLevel="0" collapsed="false">
      <c r="A13" s="7" t="s">
        <v>85</v>
      </c>
      <c r="B13" s="25" t="n">
        <f aca="false">Paramètres!$B$14</f>
        <v>0.083</v>
      </c>
      <c r="C13" s="30" t="n">
        <f aca="false">Paramètres!$B$15</f>
        <v>225</v>
      </c>
      <c r="D13" s="27" t="n">
        <f aca="false">IF($B$4="Taux normal seulement",IF(A13="normal",1,0),IF(A13="exonere",0,1))</f>
        <v>1</v>
      </c>
      <c r="E13" s="28" t="n">
        <f aca="false">IF(D13=1,Paramètres!$B$8,B13)</f>
        <v>0.092</v>
      </c>
      <c r="F13" s="29" t="n">
        <f aca="false">D13*C13*(Paramètres!$B$8-B13)</f>
        <v>2.025</v>
      </c>
    </row>
    <row r="15" customFormat="false" ht="15" hidden="false" customHeight="false" outlineLevel="0" collapsed="false">
      <c r="A15" s="4" t="s">
        <v>71</v>
      </c>
      <c r="B15" s="31" t="n">
        <f aca="false">SUM(F10:F13)</f>
        <v>2.025</v>
      </c>
    </row>
    <row r="16" customFormat="false" ht="15" hidden="false" customHeight="false" outlineLevel="0" collapsed="false">
      <c r="A16" s="4" t="s">
        <v>72</v>
      </c>
      <c r="B16" s="32" t="n">
        <f aca="false">B15/Paramètres!$B$10</f>
        <v>0.16875</v>
      </c>
    </row>
    <row r="17" customFormat="false" ht="15" hidden="false" customHeight="false" outlineLevel="0" collapsed="false">
      <c r="A17" s="4" t="s">
        <v>96</v>
      </c>
      <c r="B17" s="23" t="n">
        <f aca="false">($B$7/Paramètres!$B$7)*Paramètres!$B$9*(B16/100)</f>
        <v>4.46376201923077</v>
      </c>
    </row>
    <row r="18" customFormat="false" ht="15" hidden="false" customHeight="false" outlineLevel="0" collapsed="false">
      <c r="A18" s="4" t="s">
        <v>97</v>
      </c>
      <c r="B18" s="24" t="n">
        <f aca="false">$B$5*MAX(0,INDEX(E10:E13,MATCH($B$6,A10:A13,0))-INDEX(B10:B13,MATCH($B$6,A10:A13,0)))</f>
        <v>16.2</v>
      </c>
    </row>
    <row r="19" customFormat="false" ht="15" hidden="false" customHeight="false" outlineLevel="0" collapsed="false">
      <c r="A19" s="4" t="s">
        <v>78</v>
      </c>
      <c r="B19" s="22" t="n">
        <f aca="false">Paramètres!$B$27*(Paramètres!$B$9*B16/100/Paramètres!$B$7)</f>
        <v>0.00178763040865384</v>
      </c>
    </row>
    <row r="20" customFormat="false" ht="15" hidden="false" customHeight="false" outlineLevel="0" collapsed="false">
      <c r="A20" s="4" t="s">
        <v>79</v>
      </c>
      <c r="B20" s="22" t="n">
        <f aca="false">-Paramètres!$B$26*B15/Paramètres!$B$28</f>
        <v>-0.003938625</v>
      </c>
    </row>
  </sheetData>
  <dataValidations count="2">
    <dataValidation allowBlank="false" errorStyle="stop" operator="between" showDropDown="false" showErrorMessage="false" showInputMessage="false" sqref="B4" type="list">
      <formula1>"Taux normal seulement,Tous ceux qui paient la CSG"</formula1>
      <formula2>0</formula2>
    </dataValidation>
    <dataValidation allowBlank="false" errorStyle="stop" operator="between" showDropDown="false" showErrorMessage="false" showInputMessage="false" sqref="B6" type="list">
      <formula1>"exonere,reduit,median,normal"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4" t="s">
        <v>100</v>
      </c>
      <c r="B4" s="18" t="n">
        <v>0.5</v>
      </c>
    </row>
    <row r="5" customFormat="false" ht="15" hidden="false" customHeight="false" outlineLevel="0" collapsed="false">
      <c r="A5" s="4" t="s">
        <v>70</v>
      </c>
      <c r="B5" s="19" t="n">
        <v>1541</v>
      </c>
    </row>
    <row r="6" customFormat="false" ht="15" hidden="false" customHeight="false" outlineLevel="0" collapsed="false">
      <c r="A6" s="4" t="s">
        <v>69</v>
      </c>
      <c r="B6" s="19" t="n">
        <v>2100</v>
      </c>
    </row>
    <row r="7" customFormat="false" ht="15" hidden="false" customHeight="false" outlineLevel="0" collapsed="false">
      <c r="A7" s="4" t="s">
        <v>101</v>
      </c>
      <c r="B7" s="33" t="n">
        <v>0</v>
      </c>
    </row>
    <row r="9" customFormat="false" ht="15" hidden="false" customHeight="false" outlineLevel="0" collapsed="false">
      <c r="A9" s="10" t="s">
        <v>102</v>
      </c>
      <c r="B9" s="10" t="s">
        <v>103</v>
      </c>
      <c r="C9" s="10" t="s">
        <v>104</v>
      </c>
      <c r="D9" s="10" t="s">
        <v>105</v>
      </c>
      <c r="E9" s="10" t="s">
        <v>106</v>
      </c>
    </row>
    <row r="10" customFormat="false" ht="15" hidden="false" customHeight="false" outlineLevel="0" collapsed="false">
      <c r="A10" s="4" t="s">
        <v>107</v>
      </c>
      <c r="B10" s="12" t="n">
        <v>277</v>
      </c>
      <c r="C10" s="34" t="n">
        <v>1</v>
      </c>
      <c r="D10" s="27" t="n">
        <f aca="false">1</f>
        <v>1</v>
      </c>
      <c r="E10" s="26" t="n">
        <f aca="false">IF(OR(C10=1,D10=1),0,B10)</f>
        <v>0</v>
      </c>
    </row>
    <row r="11" customFormat="false" ht="15" hidden="false" customHeight="false" outlineLevel="0" collapsed="false">
      <c r="A11" s="4" t="s">
        <v>108</v>
      </c>
      <c r="B11" s="12" t="n">
        <v>21</v>
      </c>
      <c r="C11" s="34" t="n">
        <v>0</v>
      </c>
      <c r="D11" s="35" t="n">
        <v>1</v>
      </c>
      <c r="E11" s="26" t="n">
        <f aca="false">IF(OR(C11=1,D11=1),0,B11)</f>
        <v>0</v>
      </c>
    </row>
    <row r="12" customFormat="false" ht="15" hidden="false" customHeight="false" outlineLevel="0" collapsed="false">
      <c r="A12" s="4" t="s">
        <v>109</v>
      </c>
      <c r="B12" s="12" t="n">
        <v>28.3</v>
      </c>
      <c r="C12" s="34" t="n">
        <v>0</v>
      </c>
      <c r="D12" s="35" t="n">
        <v>0</v>
      </c>
      <c r="E12" s="26" t="n">
        <f aca="false">IF(OR(C12=1,D12=1),0,B12)</f>
        <v>28.3</v>
      </c>
    </row>
    <row r="13" customFormat="false" ht="15" hidden="false" customHeight="false" outlineLevel="0" collapsed="false">
      <c r="A13" s="4" t="s">
        <v>110</v>
      </c>
      <c r="B13" s="12" t="n">
        <v>7.7</v>
      </c>
      <c r="C13" s="34" t="n">
        <v>0</v>
      </c>
      <c r="D13" s="35" t="n">
        <v>0</v>
      </c>
      <c r="E13" s="26" t="n">
        <f aca="false">IF(OR(C13=1,D13=1),0,B13)</f>
        <v>7.7</v>
      </c>
    </row>
    <row r="14" customFormat="false" ht="15" hidden="false" customHeight="false" outlineLevel="0" collapsed="false">
      <c r="A14" s="4" t="s">
        <v>111</v>
      </c>
      <c r="B14" s="12" t="n">
        <v>21.9</v>
      </c>
      <c r="C14" s="34" t="n">
        <v>0</v>
      </c>
      <c r="D14" s="35" t="n">
        <v>0</v>
      </c>
      <c r="E14" s="26" t="n">
        <f aca="false">IF(OR(C14=1,D14=1),0,B14)</f>
        <v>21.9</v>
      </c>
    </row>
    <row r="15" customFormat="false" ht="15" hidden="false" customHeight="false" outlineLevel="0" collapsed="false">
      <c r="A15" s="4" t="s">
        <v>112</v>
      </c>
      <c r="B15" s="12" t="n">
        <v>17.9</v>
      </c>
      <c r="C15" s="34" t="n">
        <v>0</v>
      </c>
      <c r="D15" s="35" t="n">
        <v>1</v>
      </c>
      <c r="E15" s="26" t="n">
        <f aca="false">IF(OR(C15=1,D15=1),0,B15)</f>
        <v>0</v>
      </c>
    </row>
    <row r="16" customFormat="false" ht="15" hidden="false" customHeight="false" outlineLevel="0" collapsed="false">
      <c r="A16" s="4" t="s">
        <v>113</v>
      </c>
      <c r="B16" s="12" t="n">
        <v>17.4</v>
      </c>
      <c r="C16" s="34" t="n">
        <v>0</v>
      </c>
      <c r="D16" s="35" t="n">
        <v>0</v>
      </c>
      <c r="E16" s="26" t="n">
        <f aca="false">IF(OR(C16=1,D16=1),0,B16)</f>
        <v>17.4</v>
      </c>
    </row>
    <row r="17" customFormat="false" ht="15" hidden="false" customHeight="false" outlineLevel="0" collapsed="false">
      <c r="A17" s="4" t="s">
        <v>114</v>
      </c>
      <c r="B17" s="12" t="n">
        <v>7.4</v>
      </c>
      <c r="C17" s="34" t="n">
        <v>0</v>
      </c>
      <c r="D17" s="35" t="n">
        <v>0</v>
      </c>
      <c r="E17" s="26" t="n">
        <f aca="false">IF(OR(C17=1,D17=1),0,B17)</f>
        <v>7.4</v>
      </c>
    </row>
    <row r="18" customFormat="false" ht="15" hidden="false" customHeight="false" outlineLevel="0" collapsed="false">
      <c r="A18" s="4" t="s">
        <v>115</v>
      </c>
      <c r="B18" s="12" t="n">
        <v>11.2</v>
      </c>
      <c r="C18" s="34" t="n">
        <v>0</v>
      </c>
      <c r="D18" s="35" t="n">
        <v>1</v>
      </c>
      <c r="E18" s="26" t="n">
        <f aca="false">IF(OR(C18=1,D18=1),0,B18)</f>
        <v>0</v>
      </c>
    </row>
    <row r="19" customFormat="false" ht="15" hidden="false" customHeight="false" outlineLevel="0" collapsed="false">
      <c r="A19" s="4" t="s">
        <v>116</v>
      </c>
      <c r="B19" s="12" t="n">
        <v>3.9</v>
      </c>
      <c r="C19" s="34" t="n">
        <v>0</v>
      </c>
      <c r="D19" s="35" t="n">
        <v>1</v>
      </c>
      <c r="E19" s="26" t="n">
        <f aca="false">IF(OR(C19=1,D19=1),0,B19)</f>
        <v>0</v>
      </c>
    </row>
    <row r="20" customFormat="false" ht="15" hidden="false" customHeight="false" outlineLevel="0" collapsed="false">
      <c r="A20" s="4" t="s">
        <v>117</v>
      </c>
      <c r="B20" s="12" t="n">
        <v>1.3</v>
      </c>
      <c r="C20" s="34" t="n">
        <v>0</v>
      </c>
      <c r="D20" s="35" t="n">
        <v>0</v>
      </c>
      <c r="E20" s="26" t="n">
        <f aca="false">IF(OR(C20=1,D20=1),0,B20)</f>
        <v>1.3</v>
      </c>
    </row>
    <row r="21" customFormat="false" ht="15" hidden="false" customHeight="false" outlineLevel="0" collapsed="false">
      <c r="A21" s="4" t="s">
        <v>118</v>
      </c>
      <c r="B21" s="12" t="n">
        <v>7</v>
      </c>
      <c r="C21" s="34" t="n">
        <v>1</v>
      </c>
      <c r="D21" s="27" t="n">
        <f aca="false">1</f>
        <v>1</v>
      </c>
      <c r="E21" s="26" t="n">
        <f aca="false">IF(OR(C21=1,D21=1),0,B21)</f>
        <v>0</v>
      </c>
    </row>
    <row r="23" customFormat="false" ht="15" hidden="false" customHeight="false" outlineLevel="0" collapsed="false">
      <c r="A23" s="4" t="s">
        <v>119</v>
      </c>
      <c r="B23" s="36" t="n">
        <f aca="false">SUM(E10:E21)</f>
        <v>84</v>
      </c>
    </row>
    <row r="24" customFormat="false" ht="15" hidden="false" customHeight="false" outlineLevel="0" collapsed="false">
      <c r="A24" s="4" t="s">
        <v>120</v>
      </c>
      <c r="B24" s="20" t="n">
        <f aca="false">B23*$B$4</f>
        <v>42</v>
      </c>
    </row>
    <row r="25" customFormat="false" ht="15" hidden="false" customHeight="false" outlineLevel="0" collapsed="false">
      <c r="A25" s="4" t="s">
        <v>121</v>
      </c>
      <c r="B25" s="20" t="n">
        <f aca="false">B23-B24</f>
        <v>42</v>
      </c>
    </row>
    <row r="26" customFormat="false" ht="15" hidden="false" customHeight="false" outlineLevel="0" collapsed="false">
      <c r="A26" s="4" t="s">
        <v>122</v>
      </c>
      <c r="B26" s="37" t="n">
        <f aca="false">B24/Paramètres!$B$29</f>
        <v>0.0994789199431549</v>
      </c>
    </row>
    <row r="27" customFormat="false" ht="15" hidden="false" customHeight="false" outlineLevel="0" collapsed="false">
      <c r="A27" s="4" t="s">
        <v>123</v>
      </c>
      <c r="B27" s="37" t="n">
        <f aca="false">B25/Paramètres!$B$6</f>
        <v>0.0378890392422192</v>
      </c>
    </row>
    <row r="28" customFormat="false" ht="15" hidden="false" customHeight="false" outlineLevel="0" collapsed="false">
      <c r="A28" s="4" t="s">
        <v>124</v>
      </c>
      <c r="B28" s="23" t="n">
        <f aca="false">$B$5*(1-B26)</f>
        <v>1387.7029843676</v>
      </c>
    </row>
    <row r="29" customFormat="false" ht="15" hidden="false" customHeight="false" outlineLevel="0" collapsed="false">
      <c r="A29" s="4" t="s">
        <v>125</v>
      </c>
      <c r="B29" s="23" t="n">
        <f aca="false">$B$6/Paramètres!$B$7*B27</f>
        <v>102.008951805975</v>
      </c>
    </row>
    <row r="30" customFormat="false" ht="15" hidden="false" customHeight="false" outlineLevel="0" collapsed="false">
      <c r="A30" s="4" t="s">
        <v>78</v>
      </c>
      <c r="B30" s="22" t="n">
        <f aca="false">Paramètres!$B$27*(-B27/Paramètres!$B$7+$B$7/(Paramètres!$B$6*Paramètres!$B$7))</f>
        <v>-0.0408521564137261</v>
      </c>
    </row>
    <row r="31" customFormat="false" ht="15" hidden="false" customHeight="false" outlineLevel="0" collapsed="false">
      <c r="A31" s="4" t="s">
        <v>79</v>
      </c>
      <c r="B31" s="22" t="n">
        <f aca="false">-Paramètres!$B$26*B26</f>
        <v>-0.0773945997157745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9" min="6" style="0" width="14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4" t="s">
        <v>128</v>
      </c>
      <c r="B4" s="19" t="n">
        <v>2000</v>
      </c>
    </row>
    <row r="5" customFormat="false" ht="15" hidden="false" customHeight="false" outlineLevel="0" collapsed="false">
      <c r="A5" s="4" t="s">
        <v>129</v>
      </c>
      <c r="B5" s="18" t="n">
        <v>0.009</v>
      </c>
    </row>
    <row r="6" customFormat="false" ht="15" hidden="false" customHeight="false" outlineLevel="0" collapsed="false">
      <c r="A6" s="4" t="s">
        <v>130</v>
      </c>
      <c r="B6" s="5" t="s">
        <v>131</v>
      </c>
    </row>
    <row r="7" customFormat="false" ht="15" hidden="false" customHeight="false" outlineLevel="0" collapsed="false">
      <c r="A7" s="4" t="s">
        <v>132</v>
      </c>
      <c r="B7" s="18" t="n">
        <v>0.67</v>
      </c>
    </row>
    <row r="8" customFormat="false" ht="15" hidden="false" customHeight="false" outlineLevel="0" collapsed="false">
      <c r="A8" s="4" t="s">
        <v>133</v>
      </c>
      <c r="B8" s="5" t="s">
        <v>134</v>
      </c>
    </row>
    <row r="9" customFormat="false" ht="15" hidden="false" customHeight="false" outlineLevel="0" collapsed="false">
      <c r="A9" s="4" t="s">
        <v>135</v>
      </c>
      <c r="B9" s="19" t="n">
        <v>2500</v>
      </c>
    </row>
    <row r="10" customFormat="false" ht="15" hidden="false" customHeight="false" outlineLevel="0" collapsed="false">
      <c r="A10" s="4" t="s">
        <v>136</v>
      </c>
      <c r="B10" s="19" t="n">
        <v>2100</v>
      </c>
    </row>
    <row r="12" customFormat="false" ht="15" hidden="false" customHeight="false" outlineLevel="0" collapsed="false">
      <c r="A12" s="4" t="s">
        <v>137</v>
      </c>
      <c r="B12" s="11" t="n">
        <v>17300000</v>
      </c>
      <c r="C12" s="7" t="s">
        <v>138</v>
      </c>
    </row>
    <row r="13" customFormat="false" ht="15" hidden="false" customHeight="false" outlineLevel="0" collapsed="false">
      <c r="A13" s="4" t="s">
        <v>139</v>
      </c>
      <c r="B13" s="38" t="n">
        <v>1.19</v>
      </c>
      <c r="C13" s="7" t="s">
        <v>140</v>
      </c>
    </row>
    <row r="14" customFormat="false" ht="15" hidden="false" customHeight="false" outlineLevel="0" collapsed="false">
      <c r="A14" s="4" t="s">
        <v>141</v>
      </c>
      <c r="B14" s="11" t="n">
        <v>6000</v>
      </c>
      <c r="C14" s="7" t="s">
        <v>142</v>
      </c>
    </row>
    <row r="15" customFormat="false" ht="15" hidden="false" customHeight="false" outlineLevel="0" collapsed="false">
      <c r="A15" s="4" t="s">
        <v>143</v>
      </c>
      <c r="B15" s="13" t="n">
        <v>0.78</v>
      </c>
      <c r="C15" s="7" t="s">
        <v>144</v>
      </c>
    </row>
    <row r="16" customFormat="false" ht="15" hidden="false" customHeight="false" outlineLevel="0" collapsed="false">
      <c r="A16" s="4" t="s">
        <v>145</v>
      </c>
      <c r="B16" s="13" t="n">
        <v>0.03</v>
      </c>
      <c r="C16" s="7" t="s">
        <v>146</v>
      </c>
    </row>
    <row r="17" customFormat="false" ht="15" hidden="false" customHeight="false" outlineLevel="0" collapsed="false">
      <c r="A17" s="4" t="s">
        <v>147</v>
      </c>
      <c r="B17" s="34" t="n">
        <v>10</v>
      </c>
      <c r="C17" s="7" t="s">
        <v>148</v>
      </c>
    </row>
    <row r="18" customFormat="false" ht="15" hidden="false" customHeight="false" outlineLevel="0" collapsed="false">
      <c r="A18" s="4" t="s">
        <v>149</v>
      </c>
      <c r="B18" s="13" t="n">
        <v>0.5</v>
      </c>
      <c r="C18" s="7" t="s">
        <v>150</v>
      </c>
    </row>
    <row r="19" customFormat="false" ht="15" hidden="false" customHeight="false" outlineLevel="0" collapsed="false">
      <c r="A19" s="4" t="s">
        <v>151</v>
      </c>
      <c r="B19" s="34" t="n">
        <v>172</v>
      </c>
      <c r="C19" s="7" t="s">
        <v>152</v>
      </c>
    </row>
    <row r="20" customFormat="false" ht="15" hidden="false" customHeight="false" outlineLevel="0" collapsed="false">
      <c r="A20" s="4" t="s">
        <v>153</v>
      </c>
      <c r="B20" s="13" t="n">
        <v>0.091</v>
      </c>
      <c r="C20" s="7" t="s">
        <v>154</v>
      </c>
    </row>
    <row r="21" customFormat="false" ht="15" hidden="false" customHeight="false" outlineLevel="0" collapsed="false">
      <c r="A21" s="4" t="s">
        <v>155</v>
      </c>
      <c r="B21" s="13" t="n">
        <v>0.218</v>
      </c>
      <c r="C21" s="7" t="s">
        <v>156</v>
      </c>
    </row>
    <row r="23" customFormat="false" ht="15" hidden="false" customHeight="false" outlineLevel="0" collapsed="false">
      <c r="A23" s="3" t="s">
        <v>157</v>
      </c>
    </row>
    <row r="24" customFormat="false" ht="15" hidden="false" customHeight="false" outlineLevel="0" collapsed="false">
      <c r="A24" s="4" t="s">
        <v>158</v>
      </c>
      <c r="B24" s="28" t="n">
        <f aca="false">G97</f>
        <v>0.412539495798319</v>
      </c>
    </row>
    <row r="25" customFormat="false" ht="15" hidden="false" customHeight="false" outlineLevel="0" collapsed="false">
      <c r="A25" s="4" t="s">
        <v>81</v>
      </c>
      <c r="B25" s="39" t="n">
        <f aca="false">G97*$B$12</f>
        <v>7136933.27731093</v>
      </c>
    </row>
    <row r="26" customFormat="false" ht="15" hidden="false" customHeight="false" outlineLevel="0" collapsed="false">
      <c r="A26" s="4" t="s">
        <v>159</v>
      </c>
      <c r="B26" s="31" t="n">
        <f aca="false">$B$12*12*IF($B$6="Toute la pension",H97,I97)*$B$7*$B$5/1000000000</f>
        <v>1.56771740183022</v>
      </c>
    </row>
    <row r="27" customFormat="false" ht="15" hidden="false" customHeight="false" outlineLevel="0" collapsed="false">
      <c r="A27" s="4" t="s">
        <v>160</v>
      </c>
      <c r="B27" s="40" t="n">
        <f aca="false">B26*$B$15</f>
        <v>1.22281957342757</v>
      </c>
    </row>
    <row r="28" customFormat="false" ht="15" hidden="false" customHeight="false" outlineLevel="0" collapsed="false">
      <c r="A28" s="4" t="s">
        <v>161</v>
      </c>
      <c r="B28" s="31" t="n">
        <f aca="false">IF($B$8="Oui",B26,B26*(1-$B$16)^$B$17)</f>
        <v>1.15607263626263</v>
      </c>
    </row>
    <row r="29" customFormat="false" ht="15" hidden="false" customHeight="false" outlineLevel="0" collapsed="false">
      <c r="A29" s="4" t="s">
        <v>162</v>
      </c>
      <c r="B29" s="20" t="n">
        <f aca="false">IF($B$8="Oui",B26*($B$17+1),B26*(1-(1-$B$16)^($B$17+1))/$B$16)</f>
        <v>14.8775648218488</v>
      </c>
    </row>
    <row r="30" customFormat="false" ht="15" hidden="false" customHeight="false" outlineLevel="0" collapsed="false">
      <c r="A30" s="4" t="s">
        <v>163</v>
      </c>
      <c r="B30" s="24" t="n">
        <f aca="false">IF($B$9&lt;=$B$4,0,IF($B$6="Toute la pension",$B$9,$B$9-$B$4)*$B$7*$B$5)</f>
        <v>15.075</v>
      </c>
    </row>
    <row r="31" customFormat="false" ht="15" hidden="false" customHeight="false" outlineLevel="0" collapsed="false">
      <c r="A31" s="4" t="s">
        <v>164</v>
      </c>
      <c r="B31" s="41" t="n">
        <f aca="false">$B$18/$B$19</f>
        <v>0.00290697674418605</v>
      </c>
    </row>
    <row r="32" customFormat="false" ht="15" hidden="false" customHeight="false" outlineLevel="0" collapsed="false">
      <c r="A32" s="4" t="s">
        <v>165</v>
      </c>
      <c r="B32" s="41" t="n">
        <f aca="false">IF($B$6="Toute la pension",B31*(1-$B$5),IF($B$9&gt;$B$4,B31*(1-$B$5*($B$9-$B$4)/$B$9),"sous le seuil"))</f>
        <v>0.00288081395348837</v>
      </c>
    </row>
    <row r="33" customFormat="false" ht="15" hidden="false" customHeight="false" outlineLevel="0" collapsed="false">
      <c r="A33" s="4" t="s">
        <v>72</v>
      </c>
      <c r="B33" s="32" t="n">
        <f aca="false">B26/Paramètres!$B$10</f>
        <v>0.130643116819185</v>
      </c>
    </row>
    <row r="34" customFormat="false" ht="15" hidden="false" customHeight="false" outlineLevel="0" collapsed="false">
      <c r="A34" s="4" t="s">
        <v>96</v>
      </c>
      <c r="B34" s="23" t="n">
        <f aca="false">($B$10/Paramètres!$B$7)*Paramètres!$B$9*(B33/100)</f>
        <v>3.45576167663055</v>
      </c>
    </row>
    <row r="35" customFormat="false" ht="15" hidden="false" customHeight="false" outlineLevel="0" collapsed="false">
      <c r="A35" s="4" t="s">
        <v>166</v>
      </c>
      <c r="B35" s="23" t="n">
        <f aca="false">B30*(1-$B$20)</f>
        <v>13.703175</v>
      </c>
    </row>
    <row r="36" customFormat="false" ht="15" hidden="false" customHeight="false" outlineLevel="0" collapsed="false">
      <c r="A36" s="4" t="s">
        <v>167</v>
      </c>
      <c r="B36" s="42" t="n">
        <f aca="false">$B$9*(1-$B$20)*$B$21</f>
        <v>495.405</v>
      </c>
    </row>
    <row r="37" customFormat="false" ht="15" hidden="false" customHeight="false" outlineLevel="0" collapsed="false">
      <c r="A37" s="4" t="s">
        <v>168</v>
      </c>
      <c r="B37" s="28" t="n">
        <f aca="false">IF(B36&gt;0,B35/B36,0)</f>
        <v>0.0276605504587156</v>
      </c>
    </row>
    <row r="38" customFormat="false" ht="15" hidden="false" customHeight="false" outlineLevel="0" collapsed="false">
      <c r="A38" s="4" t="s">
        <v>78</v>
      </c>
      <c r="B38" s="22" t="n">
        <f aca="false">Paramètres!$B$27*(Paramètres!$B$9*B33/100/Paramètres!$B$7)</f>
        <v>0.00138395027145062</v>
      </c>
    </row>
    <row r="39" customFormat="false" ht="15" hidden="false" customHeight="false" outlineLevel="0" collapsed="false">
      <c r="A39" s="4" t="s">
        <v>79</v>
      </c>
      <c r="B39" s="22" t="n">
        <f aca="false">-Paramètres!$B$26*B26/Paramètres!$B$28</f>
        <v>-0.00304921034655978</v>
      </c>
    </row>
    <row r="40" customFormat="false" ht="15" hidden="false" customHeight="false" outlineLevel="0" collapsed="false">
      <c r="A40" s="4" t="s">
        <v>169</v>
      </c>
      <c r="B40" s="20" t="n">
        <f aca="false">$B$12*12*F97/1000000000</f>
        <v>402.2308647</v>
      </c>
    </row>
    <row r="49" customFormat="false" ht="15" hidden="false" customHeight="false" outlineLevel="0" collapsed="false">
      <c r="A49" s="3" t="s">
        <v>170</v>
      </c>
    </row>
    <row r="50" customFormat="false" ht="23.85" hidden="false" customHeight="false" outlineLevel="0" collapsed="false">
      <c r="A50" s="10" t="s">
        <v>171</v>
      </c>
      <c r="B50" s="10" t="s">
        <v>172</v>
      </c>
      <c r="C50" s="10" t="s">
        <v>173</v>
      </c>
      <c r="D50" s="10" t="s">
        <v>174</v>
      </c>
      <c r="E50" s="10" t="s">
        <v>175</v>
      </c>
      <c r="F50" s="10" t="s">
        <v>176</v>
      </c>
      <c r="G50" s="10" t="s">
        <v>177</v>
      </c>
      <c r="H50" s="10" t="s">
        <v>178</v>
      </c>
      <c r="I50" s="10" t="s">
        <v>179</v>
      </c>
    </row>
    <row r="51" customFormat="false" ht="15" hidden="false" customHeight="false" outlineLevel="0" collapsed="false">
      <c r="A51" s="11" t="n">
        <v>0</v>
      </c>
      <c r="B51" s="11" t="n">
        <v>100</v>
      </c>
      <c r="C51" s="38" t="n">
        <v>2.43</v>
      </c>
      <c r="D51" s="39" t="n">
        <f aca="false">A51*$B$13</f>
        <v>0</v>
      </c>
      <c r="E51" s="39" t="n">
        <f aca="false">B51*$B$13</f>
        <v>119</v>
      </c>
      <c r="F51" s="26" t="n">
        <f aca="false">C51/100*(D51+E51)/2</f>
        <v>1.44585</v>
      </c>
      <c r="G51" s="43" t="n">
        <f aca="false">IF(E51&lt;=$B$4,0,(C51/100*(E51-MAX(D51,$B$4))/(E51-D51)))</f>
        <v>0</v>
      </c>
      <c r="H51" s="26" t="n">
        <f aca="false">IF(E51&lt;=$B$4,0,(C51/100*(E51-MAX(D51,$B$4))/(E51-D51))*(MAX(D51,$B$4)+E51)/2)</f>
        <v>0</v>
      </c>
      <c r="I51" s="26" t="n">
        <f aca="false">IF(E51&lt;=$B$4,0,(C51/100*(E51-MAX(D51,$B$4))/(E51-D51))*(MAX(D51,$B$4)+E51)/2-(C51/100*(E51-MAX(D51,$B$4))/(E51-D51))*$B$4)</f>
        <v>0</v>
      </c>
    </row>
    <row r="52" customFormat="false" ht="15" hidden="false" customHeight="false" outlineLevel="0" collapsed="false">
      <c r="A52" s="11" t="n">
        <v>100</v>
      </c>
      <c r="B52" s="11" t="n">
        <v>200</v>
      </c>
      <c r="C52" s="38" t="n">
        <v>2.46</v>
      </c>
      <c r="D52" s="39" t="n">
        <f aca="false">A52*$B$13</f>
        <v>119</v>
      </c>
      <c r="E52" s="39" t="n">
        <f aca="false">B52*$B$13</f>
        <v>238</v>
      </c>
      <c r="F52" s="26" t="n">
        <f aca="false">C52/100*(D52+E52)/2</f>
        <v>4.3911</v>
      </c>
      <c r="G52" s="43" t="n">
        <f aca="false">IF(E52&lt;=$B$4,0,(C52/100*(E52-MAX(D52,$B$4))/(E52-D52)))</f>
        <v>0</v>
      </c>
      <c r="H52" s="26" t="n">
        <f aca="false">IF(E52&lt;=$B$4,0,(C52/100*(E52-MAX(D52,$B$4))/(E52-D52))*(MAX(D52,$B$4)+E52)/2)</f>
        <v>0</v>
      </c>
      <c r="I52" s="26" t="n">
        <f aca="false">IF(E52&lt;=$B$4,0,(C52/100*(E52-MAX(D52,$B$4))/(E52-D52))*(MAX(D52,$B$4)+E52)/2-(C52/100*(E52-MAX(D52,$B$4))/(E52-D52))*$B$4)</f>
        <v>0</v>
      </c>
    </row>
    <row r="53" customFormat="false" ht="15" hidden="false" customHeight="false" outlineLevel="0" collapsed="false">
      <c r="A53" s="11" t="n">
        <v>200</v>
      </c>
      <c r="B53" s="11" t="n">
        <v>300</v>
      </c>
      <c r="C53" s="38" t="n">
        <v>2.35</v>
      </c>
      <c r="D53" s="39" t="n">
        <f aca="false">A53*$B$13</f>
        <v>238</v>
      </c>
      <c r="E53" s="39" t="n">
        <f aca="false">B53*$B$13</f>
        <v>357</v>
      </c>
      <c r="F53" s="26" t="n">
        <f aca="false">C53/100*(D53+E53)/2</f>
        <v>6.99125</v>
      </c>
      <c r="G53" s="43" t="n">
        <f aca="false">IF(E53&lt;=$B$4,0,(C53/100*(E53-MAX(D53,$B$4))/(E53-D53)))</f>
        <v>0</v>
      </c>
      <c r="H53" s="26" t="n">
        <f aca="false">IF(E53&lt;=$B$4,0,(C53/100*(E53-MAX(D53,$B$4))/(E53-D53))*(MAX(D53,$B$4)+E53)/2)</f>
        <v>0</v>
      </c>
      <c r="I53" s="26" t="n">
        <f aca="false">IF(E53&lt;=$B$4,0,(C53/100*(E53-MAX(D53,$B$4))/(E53-D53))*(MAX(D53,$B$4)+E53)/2-(C53/100*(E53-MAX(D53,$B$4))/(E53-D53))*$B$4)</f>
        <v>0</v>
      </c>
    </row>
    <row r="54" customFormat="false" ht="15" hidden="false" customHeight="false" outlineLevel="0" collapsed="false">
      <c r="A54" s="11" t="n">
        <v>300</v>
      </c>
      <c r="B54" s="11" t="n">
        <v>400</v>
      </c>
      <c r="C54" s="38" t="n">
        <v>2.17</v>
      </c>
      <c r="D54" s="39" t="n">
        <f aca="false">A54*$B$13</f>
        <v>357</v>
      </c>
      <c r="E54" s="39" t="n">
        <f aca="false">B54*$B$13</f>
        <v>476</v>
      </c>
      <c r="F54" s="26" t="n">
        <f aca="false">C54/100*(D54+E54)/2</f>
        <v>9.03805</v>
      </c>
      <c r="G54" s="43" t="n">
        <f aca="false">IF(E54&lt;=$B$4,0,(C54/100*(E54-MAX(D54,$B$4))/(E54-D54)))</f>
        <v>0</v>
      </c>
      <c r="H54" s="26" t="n">
        <f aca="false">IF(E54&lt;=$B$4,0,(C54/100*(E54-MAX(D54,$B$4))/(E54-D54))*(MAX(D54,$B$4)+E54)/2)</f>
        <v>0</v>
      </c>
      <c r="I54" s="26" t="n">
        <f aca="false">IF(E54&lt;=$B$4,0,(C54/100*(E54-MAX(D54,$B$4))/(E54-D54))*(MAX(D54,$B$4)+E54)/2-(C54/100*(E54-MAX(D54,$B$4))/(E54-D54))*$B$4)</f>
        <v>0</v>
      </c>
    </row>
    <row r="55" customFormat="false" ht="15" hidden="false" customHeight="false" outlineLevel="0" collapsed="false">
      <c r="A55" s="11" t="n">
        <v>400</v>
      </c>
      <c r="B55" s="11" t="n">
        <v>500</v>
      </c>
      <c r="C55" s="38" t="n">
        <v>2</v>
      </c>
      <c r="D55" s="39" t="n">
        <f aca="false">A55*$B$13</f>
        <v>476</v>
      </c>
      <c r="E55" s="39" t="n">
        <f aca="false">B55*$B$13</f>
        <v>595</v>
      </c>
      <c r="F55" s="26" t="n">
        <f aca="false">C55/100*(D55+E55)/2</f>
        <v>10.71</v>
      </c>
      <c r="G55" s="43" t="n">
        <f aca="false">IF(E55&lt;=$B$4,0,(C55/100*(E55-MAX(D55,$B$4))/(E55-D55)))</f>
        <v>0</v>
      </c>
      <c r="H55" s="26" t="n">
        <f aca="false">IF(E55&lt;=$B$4,0,(C55/100*(E55-MAX(D55,$B$4))/(E55-D55))*(MAX(D55,$B$4)+E55)/2)</f>
        <v>0</v>
      </c>
      <c r="I55" s="26" t="n">
        <f aca="false">IF(E55&lt;=$B$4,0,(C55/100*(E55-MAX(D55,$B$4))/(E55-D55))*(MAX(D55,$B$4)+E55)/2-(C55/100*(E55-MAX(D55,$B$4))/(E55-D55))*$B$4)</f>
        <v>0</v>
      </c>
    </row>
    <row r="56" customFormat="false" ht="15" hidden="false" customHeight="false" outlineLevel="0" collapsed="false">
      <c r="A56" s="11" t="n">
        <v>500</v>
      </c>
      <c r="B56" s="11" t="n">
        <v>600</v>
      </c>
      <c r="C56" s="38" t="n">
        <v>2.06</v>
      </c>
      <c r="D56" s="39" t="n">
        <f aca="false">A56*$B$13</f>
        <v>595</v>
      </c>
      <c r="E56" s="39" t="n">
        <f aca="false">B56*$B$13</f>
        <v>714</v>
      </c>
      <c r="F56" s="26" t="n">
        <f aca="false">C56/100*(D56+E56)/2</f>
        <v>13.4827</v>
      </c>
      <c r="G56" s="43" t="n">
        <f aca="false">IF(E56&lt;=$B$4,0,(C56/100*(E56-MAX(D56,$B$4))/(E56-D56)))</f>
        <v>0</v>
      </c>
      <c r="H56" s="26" t="n">
        <f aca="false">IF(E56&lt;=$B$4,0,(C56/100*(E56-MAX(D56,$B$4))/(E56-D56))*(MAX(D56,$B$4)+E56)/2)</f>
        <v>0</v>
      </c>
      <c r="I56" s="26" t="n">
        <f aca="false">IF(E56&lt;=$B$4,0,(C56/100*(E56-MAX(D56,$B$4))/(E56-D56))*(MAX(D56,$B$4)+E56)/2-(C56/100*(E56-MAX(D56,$B$4))/(E56-D56))*$B$4)</f>
        <v>0</v>
      </c>
    </row>
    <row r="57" customFormat="false" ht="15" hidden="false" customHeight="false" outlineLevel="0" collapsed="false">
      <c r="A57" s="11" t="n">
        <v>600</v>
      </c>
      <c r="B57" s="11" t="n">
        <v>700</v>
      </c>
      <c r="C57" s="38" t="n">
        <v>2.28</v>
      </c>
      <c r="D57" s="39" t="n">
        <f aca="false">A57*$B$13</f>
        <v>714</v>
      </c>
      <c r="E57" s="39" t="n">
        <f aca="false">B57*$B$13</f>
        <v>833</v>
      </c>
      <c r="F57" s="26" t="n">
        <f aca="false">C57/100*(D57+E57)/2</f>
        <v>17.6358</v>
      </c>
      <c r="G57" s="43" t="n">
        <f aca="false">IF(E57&lt;=$B$4,0,(C57/100*(E57-MAX(D57,$B$4))/(E57-D57)))</f>
        <v>0</v>
      </c>
      <c r="H57" s="26" t="n">
        <f aca="false">IF(E57&lt;=$B$4,0,(C57/100*(E57-MAX(D57,$B$4))/(E57-D57))*(MAX(D57,$B$4)+E57)/2)</f>
        <v>0</v>
      </c>
      <c r="I57" s="26" t="n">
        <f aca="false">IF(E57&lt;=$B$4,0,(C57/100*(E57-MAX(D57,$B$4))/(E57-D57))*(MAX(D57,$B$4)+E57)/2-(C57/100*(E57-MAX(D57,$B$4))/(E57-D57))*$B$4)</f>
        <v>0</v>
      </c>
    </row>
    <row r="58" customFormat="false" ht="15" hidden="false" customHeight="false" outlineLevel="0" collapsed="false">
      <c r="A58" s="11" t="n">
        <v>700</v>
      </c>
      <c r="B58" s="11" t="n">
        <v>800</v>
      </c>
      <c r="C58" s="38" t="n">
        <v>2.94</v>
      </c>
      <c r="D58" s="39" t="n">
        <f aca="false">A58*$B$13</f>
        <v>833</v>
      </c>
      <c r="E58" s="39" t="n">
        <f aca="false">B58*$B$13</f>
        <v>952</v>
      </c>
      <c r="F58" s="26" t="n">
        <f aca="false">C58/100*(D58+E58)/2</f>
        <v>26.2395</v>
      </c>
      <c r="G58" s="43" t="n">
        <f aca="false">IF(E58&lt;=$B$4,0,(C58/100*(E58-MAX(D58,$B$4))/(E58-D58)))</f>
        <v>0</v>
      </c>
      <c r="H58" s="26" t="n">
        <f aca="false">IF(E58&lt;=$B$4,0,(C58/100*(E58-MAX(D58,$B$4))/(E58-D58))*(MAX(D58,$B$4)+E58)/2)</f>
        <v>0</v>
      </c>
      <c r="I58" s="26" t="n">
        <f aca="false">IF(E58&lt;=$B$4,0,(C58/100*(E58-MAX(D58,$B$4))/(E58-D58))*(MAX(D58,$B$4)+E58)/2-(C58/100*(E58-MAX(D58,$B$4))/(E58-D58))*$B$4)</f>
        <v>0</v>
      </c>
    </row>
    <row r="59" customFormat="false" ht="15" hidden="false" customHeight="false" outlineLevel="0" collapsed="false">
      <c r="A59" s="11" t="n">
        <v>800</v>
      </c>
      <c r="B59" s="11" t="n">
        <v>900</v>
      </c>
      <c r="C59" s="38" t="n">
        <v>4.36</v>
      </c>
      <c r="D59" s="39" t="n">
        <f aca="false">A59*$B$13</f>
        <v>952</v>
      </c>
      <c r="E59" s="39" t="n">
        <f aca="false">B59*$B$13</f>
        <v>1071</v>
      </c>
      <c r="F59" s="26" t="n">
        <f aca="false">C59/100*(D59+E59)/2</f>
        <v>44.1014</v>
      </c>
      <c r="G59" s="43" t="n">
        <f aca="false">IF(E59&lt;=$B$4,0,(C59/100*(E59-MAX(D59,$B$4))/(E59-D59)))</f>
        <v>0</v>
      </c>
      <c r="H59" s="26" t="n">
        <f aca="false">IF(E59&lt;=$B$4,0,(C59/100*(E59-MAX(D59,$B$4))/(E59-D59))*(MAX(D59,$B$4)+E59)/2)</f>
        <v>0</v>
      </c>
      <c r="I59" s="26" t="n">
        <f aca="false">IF(E59&lt;=$B$4,0,(C59/100*(E59-MAX(D59,$B$4))/(E59-D59))*(MAX(D59,$B$4)+E59)/2-(C59/100*(E59-MAX(D59,$B$4))/(E59-D59))*$B$4)</f>
        <v>0</v>
      </c>
    </row>
    <row r="60" customFormat="false" ht="15" hidden="false" customHeight="false" outlineLevel="0" collapsed="false">
      <c r="A60" s="11" t="n">
        <v>900</v>
      </c>
      <c r="B60" s="11" t="n">
        <v>1000</v>
      </c>
      <c r="C60" s="38" t="n">
        <v>4.44</v>
      </c>
      <c r="D60" s="39" t="n">
        <f aca="false">A60*$B$13</f>
        <v>1071</v>
      </c>
      <c r="E60" s="39" t="n">
        <f aca="false">B60*$B$13</f>
        <v>1190</v>
      </c>
      <c r="F60" s="26" t="n">
        <f aca="false">C60/100*(D60+E60)/2</f>
        <v>50.1942</v>
      </c>
      <c r="G60" s="43" t="n">
        <f aca="false">IF(E60&lt;=$B$4,0,(C60/100*(E60-MAX(D60,$B$4))/(E60-D60)))</f>
        <v>0</v>
      </c>
      <c r="H60" s="26" t="n">
        <f aca="false">IF(E60&lt;=$B$4,0,(C60/100*(E60-MAX(D60,$B$4))/(E60-D60))*(MAX(D60,$B$4)+E60)/2)</f>
        <v>0</v>
      </c>
      <c r="I60" s="26" t="n">
        <f aca="false">IF(E60&lt;=$B$4,0,(C60/100*(E60-MAX(D60,$B$4))/(E60-D60))*(MAX(D60,$B$4)+E60)/2-(C60/100*(E60-MAX(D60,$B$4))/(E60-D60))*$B$4)</f>
        <v>0</v>
      </c>
    </row>
    <row r="61" customFormat="false" ht="15" hidden="false" customHeight="false" outlineLevel="0" collapsed="false">
      <c r="A61" s="11" t="n">
        <v>1000</v>
      </c>
      <c r="B61" s="11" t="n">
        <v>1100</v>
      </c>
      <c r="C61" s="38" t="n">
        <v>4.2</v>
      </c>
      <c r="D61" s="39" t="n">
        <f aca="false">A61*$B$13</f>
        <v>1190</v>
      </c>
      <c r="E61" s="39" t="n">
        <f aca="false">B61*$B$13</f>
        <v>1309</v>
      </c>
      <c r="F61" s="26" t="n">
        <f aca="false">C61/100*(D61+E61)/2</f>
        <v>52.479</v>
      </c>
      <c r="G61" s="43" t="n">
        <f aca="false">IF(E61&lt;=$B$4,0,(C61/100*(E61-MAX(D61,$B$4))/(E61-D61)))</f>
        <v>0</v>
      </c>
      <c r="H61" s="26" t="n">
        <f aca="false">IF(E61&lt;=$B$4,0,(C61/100*(E61-MAX(D61,$B$4))/(E61-D61))*(MAX(D61,$B$4)+E61)/2)</f>
        <v>0</v>
      </c>
      <c r="I61" s="26" t="n">
        <f aca="false">IF(E61&lt;=$B$4,0,(C61/100*(E61-MAX(D61,$B$4))/(E61-D61))*(MAX(D61,$B$4)+E61)/2-(C61/100*(E61-MAX(D61,$B$4))/(E61-D61))*$B$4)</f>
        <v>0</v>
      </c>
    </row>
    <row r="62" customFormat="false" ht="15" hidden="false" customHeight="false" outlineLevel="0" collapsed="false">
      <c r="A62" s="11" t="n">
        <v>1100</v>
      </c>
      <c r="B62" s="11" t="n">
        <v>1200</v>
      </c>
      <c r="C62" s="38" t="n">
        <v>4.4</v>
      </c>
      <c r="D62" s="39" t="n">
        <f aca="false">A62*$B$13</f>
        <v>1309</v>
      </c>
      <c r="E62" s="39" t="n">
        <f aca="false">B62*$B$13</f>
        <v>1428</v>
      </c>
      <c r="F62" s="26" t="n">
        <f aca="false">C62/100*(D62+E62)/2</f>
        <v>60.214</v>
      </c>
      <c r="G62" s="43" t="n">
        <f aca="false">IF(E62&lt;=$B$4,0,(C62/100*(E62-MAX(D62,$B$4))/(E62-D62)))</f>
        <v>0</v>
      </c>
      <c r="H62" s="26" t="n">
        <f aca="false">IF(E62&lt;=$B$4,0,(C62/100*(E62-MAX(D62,$B$4))/(E62-D62))*(MAX(D62,$B$4)+E62)/2)</f>
        <v>0</v>
      </c>
      <c r="I62" s="26" t="n">
        <f aca="false">IF(E62&lt;=$B$4,0,(C62/100*(E62-MAX(D62,$B$4))/(E62-D62))*(MAX(D62,$B$4)+E62)/2-(C62/100*(E62-MAX(D62,$B$4))/(E62-D62))*$B$4)</f>
        <v>0</v>
      </c>
    </row>
    <row r="63" customFormat="false" ht="15" hidden="false" customHeight="false" outlineLevel="0" collapsed="false">
      <c r="A63" s="11" t="n">
        <v>1200</v>
      </c>
      <c r="B63" s="11" t="n">
        <v>1300</v>
      </c>
      <c r="C63" s="38" t="n">
        <v>4.59</v>
      </c>
      <c r="D63" s="39" t="n">
        <f aca="false">A63*$B$13</f>
        <v>1428</v>
      </c>
      <c r="E63" s="39" t="n">
        <f aca="false">B63*$B$13</f>
        <v>1547</v>
      </c>
      <c r="F63" s="26" t="n">
        <f aca="false">C63/100*(D63+E63)/2</f>
        <v>68.27625</v>
      </c>
      <c r="G63" s="43" t="n">
        <f aca="false">IF(E63&lt;=$B$4,0,(C63/100*(E63-MAX(D63,$B$4))/(E63-D63)))</f>
        <v>0</v>
      </c>
      <c r="H63" s="26" t="n">
        <f aca="false">IF(E63&lt;=$B$4,0,(C63/100*(E63-MAX(D63,$B$4))/(E63-D63))*(MAX(D63,$B$4)+E63)/2)</f>
        <v>0</v>
      </c>
      <c r="I63" s="26" t="n">
        <f aca="false">IF(E63&lt;=$B$4,0,(C63/100*(E63-MAX(D63,$B$4))/(E63-D63))*(MAX(D63,$B$4)+E63)/2-(C63/100*(E63-MAX(D63,$B$4))/(E63-D63))*$B$4)</f>
        <v>0</v>
      </c>
    </row>
    <row r="64" customFormat="false" ht="15" hidden="false" customHeight="false" outlineLevel="0" collapsed="false">
      <c r="A64" s="11" t="n">
        <v>1300</v>
      </c>
      <c r="B64" s="11" t="n">
        <v>1400</v>
      </c>
      <c r="C64" s="38" t="n">
        <v>4.82</v>
      </c>
      <c r="D64" s="39" t="n">
        <f aca="false">A64*$B$13</f>
        <v>1547</v>
      </c>
      <c r="E64" s="39" t="n">
        <f aca="false">B64*$B$13</f>
        <v>1666</v>
      </c>
      <c r="F64" s="26" t="n">
        <f aca="false">C64/100*(D64+E64)/2</f>
        <v>77.4333</v>
      </c>
      <c r="G64" s="43" t="n">
        <f aca="false">IF(E64&lt;=$B$4,0,(C64/100*(E64-MAX(D64,$B$4))/(E64-D64)))</f>
        <v>0</v>
      </c>
      <c r="H64" s="26" t="n">
        <f aca="false">IF(E64&lt;=$B$4,0,(C64/100*(E64-MAX(D64,$B$4))/(E64-D64))*(MAX(D64,$B$4)+E64)/2)</f>
        <v>0</v>
      </c>
      <c r="I64" s="26" t="n">
        <f aca="false">IF(E64&lt;=$B$4,0,(C64/100*(E64-MAX(D64,$B$4))/(E64-D64))*(MAX(D64,$B$4)+E64)/2-(C64/100*(E64-MAX(D64,$B$4))/(E64-D64))*$B$4)</f>
        <v>0</v>
      </c>
    </row>
    <row r="65" customFormat="false" ht="15" hidden="false" customHeight="false" outlineLevel="0" collapsed="false">
      <c r="A65" s="11" t="n">
        <v>1400</v>
      </c>
      <c r="B65" s="11" t="n">
        <v>1500</v>
      </c>
      <c r="C65" s="38" t="n">
        <v>4.9</v>
      </c>
      <c r="D65" s="39" t="n">
        <f aca="false">A65*$B$13</f>
        <v>1666</v>
      </c>
      <c r="E65" s="39" t="n">
        <f aca="false">B65*$B$13</f>
        <v>1785</v>
      </c>
      <c r="F65" s="26" t="n">
        <f aca="false">C65/100*(D65+E65)/2</f>
        <v>84.5495</v>
      </c>
      <c r="G65" s="43" t="n">
        <f aca="false">IF(E65&lt;=$B$4,0,(C65/100*(E65-MAX(D65,$B$4))/(E65-D65)))</f>
        <v>0</v>
      </c>
      <c r="H65" s="26" t="n">
        <f aca="false">IF(E65&lt;=$B$4,0,(C65/100*(E65-MAX(D65,$B$4))/(E65-D65))*(MAX(D65,$B$4)+E65)/2)</f>
        <v>0</v>
      </c>
      <c r="I65" s="26" t="n">
        <f aca="false">IF(E65&lt;=$B$4,0,(C65/100*(E65-MAX(D65,$B$4))/(E65-D65))*(MAX(D65,$B$4)+E65)/2-(C65/100*(E65-MAX(D65,$B$4))/(E65-D65))*$B$4)</f>
        <v>0</v>
      </c>
    </row>
    <row r="66" customFormat="false" ht="15" hidden="false" customHeight="false" outlineLevel="0" collapsed="false">
      <c r="A66" s="11" t="n">
        <v>1500</v>
      </c>
      <c r="B66" s="11" t="n">
        <v>1600</v>
      </c>
      <c r="C66" s="38" t="n">
        <v>4.75</v>
      </c>
      <c r="D66" s="39" t="n">
        <f aca="false">A66*$B$13</f>
        <v>1785</v>
      </c>
      <c r="E66" s="39" t="n">
        <f aca="false">B66*$B$13</f>
        <v>1904</v>
      </c>
      <c r="F66" s="26" t="n">
        <f aca="false">C66/100*(D66+E66)/2</f>
        <v>87.61375</v>
      </c>
      <c r="G66" s="43" t="n">
        <f aca="false">IF(E66&lt;=$B$4,0,(C66/100*(E66-MAX(D66,$B$4))/(E66-D66)))</f>
        <v>0</v>
      </c>
      <c r="H66" s="26" t="n">
        <f aca="false">IF(E66&lt;=$B$4,0,(C66/100*(E66-MAX(D66,$B$4))/(E66-D66))*(MAX(D66,$B$4)+E66)/2)</f>
        <v>0</v>
      </c>
      <c r="I66" s="26" t="n">
        <f aca="false">IF(E66&lt;=$B$4,0,(C66/100*(E66-MAX(D66,$B$4))/(E66-D66))*(MAX(D66,$B$4)+E66)/2-(C66/100*(E66-MAX(D66,$B$4))/(E66-D66))*$B$4)</f>
        <v>0</v>
      </c>
    </row>
    <row r="67" customFormat="false" ht="15" hidden="false" customHeight="false" outlineLevel="0" collapsed="false">
      <c r="A67" s="11" t="n">
        <v>1600</v>
      </c>
      <c r="B67" s="11" t="n">
        <v>1700</v>
      </c>
      <c r="C67" s="38" t="n">
        <v>4.47</v>
      </c>
      <c r="D67" s="39" t="n">
        <f aca="false">A67*$B$13</f>
        <v>1904</v>
      </c>
      <c r="E67" s="39" t="n">
        <f aca="false">B67*$B$13</f>
        <v>2023</v>
      </c>
      <c r="F67" s="26" t="n">
        <f aca="false">C67/100*(D67+E67)/2</f>
        <v>87.76845</v>
      </c>
      <c r="G67" s="43" t="n">
        <f aca="false">IF(E67&lt;=$B$4,0,(C67/100*(E67-MAX(D67,$B$4))/(E67-D67)))</f>
        <v>0.00863949579831933</v>
      </c>
      <c r="H67" s="26" t="n">
        <f aca="false">IF(E67&lt;=$B$4,0,(C67/100*(E67-MAX(D67,$B$4))/(E67-D67))*(MAX(D67,$B$4)+E67)/2)</f>
        <v>17.3783457983193</v>
      </c>
      <c r="I67" s="26" t="n">
        <f aca="false">IF(E67&lt;=$B$4,0,(C67/100*(E67-MAX(D67,$B$4))/(E67-D67))*(MAX(D67,$B$4)+E67)/2-(C67/100*(E67-MAX(D67,$B$4))/(E67-D67))*$B$4)</f>
        <v>0.0993542016806721</v>
      </c>
    </row>
    <row r="68" customFormat="false" ht="15" hidden="false" customHeight="false" outlineLevel="0" collapsed="false">
      <c r="A68" s="11" t="n">
        <v>1700</v>
      </c>
      <c r="B68" s="11" t="n">
        <v>1800</v>
      </c>
      <c r="C68" s="38" t="n">
        <v>4.23</v>
      </c>
      <c r="D68" s="39" t="n">
        <f aca="false">A68*$B$13</f>
        <v>2023</v>
      </c>
      <c r="E68" s="39" t="n">
        <f aca="false">B68*$B$13</f>
        <v>2142</v>
      </c>
      <c r="F68" s="26" t="n">
        <f aca="false">C68/100*(D68+E68)/2</f>
        <v>88.08975</v>
      </c>
      <c r="G68" s="43" t="n">
        <f aca="false">IF(E68&lt;=$B$4,0,(C68/100*(E68-MAX(D68,$B$4))/(E68-D68)))</f>
        <v>0.0423</v>
      </c>
      <c r="H68" s="26" t="n">
        <f aca="false">IF(E68&lt;=$B$4,0,(C68/100*(E68-MAX(D68,$B$4))/(E68-D68))*(MAX(D68,$B$4)+E68)/2)</f>
        <v>88.08975</v>
      </c>
      <c r="I68" s="26" t="n">
        <f aca="false">IF(E68&lt;=$B$4,0,(C68/100*(E68-MAX(D68,$B$4))/(E68-D68))*(MAX(D68,$B$4)+E68)/2-(C68/100*(E68-MAX(D68,$B$4))/(E68-D68))*$B$4)</f>
        <v>3.48975</v>
      </c>
    </row>
    <row r="69" customFormat="false" ht="15" hidden="false" customHeight="false" outlineLevel="0" collapsed="false">
      <c r="A69" s="11" t="n">
        <v>1800</v>
      </c>
      <c r="B69" s="11" t="n">
        <v>1900</v>
      </c>
      <c r="C69" s="38" t="n">
        <v>4</v>
      </c>
      <c r="D69" s="39" t="n">
        <f aca="false">A69*$B$13</f>
        <v>2142</v>
      </c>
      <c r="E69" s="39" t="n">
        <f aca="false">B69*$B$13</f>
        <v>2261</v>
      </c>
      <c r="F69" s="26" t="n">
        <f aca="false">C69/100*(D69+E69)/2</f>
        <v>88.06</v>
      </c>
      <c r="G69" s="43" t="n">
        <f aca="false">IF(E69&lt;=$B$4,0,(C69/100*(E69-MAX(D69,$B$4))/(E69-D69)))</f>
        <v>0.04</v>
      </c>
      <c r="H69" s="26" t="n">
        <f aca="false">IF(E69&lt;=$B$4,0,(C69/100*(E69-MAX(D69,$B$4))/(E69-D69))*(MAX(D69,$B$4)+E69)/2)</f>
        <v>88.06</v>
      </c>
      <c r="I69" s="26" t="n">
        <f aca="false">IF(E69&lt;=$B$4,0,(C69/100*(E69-MAX(D69,$B$4))/(E69-D69))*(MAX(D69,$B$4)+E69)/2-(C69/100*(E69-MAX(D69,$B$4))/(E69-D69))*$B$4)</f>
        <v>8.06</v>
      </c>
    </row>
    <row r="70" customFormat="false" ht="15" hidden="false" customHeight="false" outlineLevel="0" collapsed="false">
      <c r="A70" s="11" t="n">
        <v>1900</v>
      </c>
      <c r="B70" s="11" t="n">
        <v>2000</v>
      </c>
      <c r="C70" s="38" t="n">
        <v>3.76</v>
      </c>
      <c r="D70" s="39" t="n">
        <f aca="false">A70*$B$13</f>
        <v>2261</v>
      </c>
      <c r="E70" s="39" t="n">
        <f aca="false">B70*$B$13</f>
        <v>2380</v>
      </c>
      <c r="F70" s="26" t="n">
        <f aca="false">C70/100*(D70+E70)/2</f>
        <v>87.2508</v>
      </c>
      <c r="G70" s="43" t="n">
        <f aca="false">IF(E70&lt;=$B$4,0,(C70/100*(E70-MAX(D70,$B$4))/(E70-D70)))</f>
        <v>0.0376</v>
      </c>
      <c r="H70" s="26" t="n">
        <f aca="false">IF(E70&lt;=$B$4,0,(C70/100*(E70-MAX(D70,$B$4))/(E70-D70))*(MAX(D70,$B$4)+E70)/2)</f>
        <v>87.2508</v>
      </c>
      <c r="I70" s="26" t="n">
        <f aca="false">IF(E70&lt;=$B$4,0,(C70/100*(E70-MAX(D70,$B$4))/(E70-D70))*(MAX(D70,$B$4)+E70)/2-(C70/100*(E70-MAX(D70,$B$4))/(E70-D70))*$B$4)</f>
        <v>12.0508</v>
      </c>
    </row>
    <row r="71" customFormat="false" ht="15" hidden="false" customHeight="false" outlineLevel="0" collapsed="false">
      <c r="A71" s="11" t="n">
        <v>2000</v>
      </c>
      <c r="B71" s="11" t="n">
        <v>2100</v>
      </c>
      <c r="C71" s="38" t="n">
        <v>3.63</v>
      </c>
      <c r="D71" s="39" t="n">
        <f aca="false">A71*$B$13</f>
        <v>2380</v>
      </c>
      <c r="E71" s="39" t="n">
        <f aca="false">B71*$B$13</f>
        <v>2499</v>
      </c>
      <c r="F71" s="26" t="n">
        <f aca="false">C71/100*(D71+E71)/2</f>
        <v>88.55385</v>
      </c>
      <c r="G71" s="43" t="n">
        <f aca="false">IF(E71&lt;=$B$4,0,(C71/100*(E71-MAX(D71,$B$4))/(E71-D71)))</f>
        <v>0.0363</v>
      </c>
      <c r="H71" s="26" t="n">
        <f aca="false">IF(E71&lt;=$B$4,0,(C71/100*(E71-MAX(D71,$B$4))/(E71-D71))*(MAX(D71,$B$4)+E71)/2)</f>
        <v>88.55385</v>
      </c>
      <c r="I71" s="26" t="n">
        <f aca="false">IF(E71&lt;=$B$4,0,(C71/100*(E71-MAX(D71,$B$4))/(E71-D71))*(MAX(D71,$B$4)+E71)/2-(C71/100*(E71-MAX(D71,$B$4))/(E71-D71))*$B$4)</f>
        <v>15.95385</v>
      </c>
    </row>
    <row r="72" customFormat="false" ht="15" hidden="false" customHeight="false" outlineLevel="0" collapsed="false">
      <c r="A72" s="11" t="n">
        <v>2100</v>
      </c>
      <c r="B72" s="11" t="n">
        <v>2200</v>
      </c>
      <c r="C72" s="38" t="n">
        <v>2.99</v>
      </c>
      <c r="D72" s="39" t="n">
        <f aca="false">A72*$B$13</f>
        <v>2499</v>
      </c>
      <c r="E72" s="39" t="n">
        <f aca="false">B72*$B$13</f>
        <v>2618</v>
      </c>
      <c r="F72" s="26" t="n">
        <f aca="false">C72/100*(D72+E72)/2</f>
        <v>76.49915</v>
      </c>
      <c r="G72" s="43" t="n">
        <f aca="false">IF(E72&lt;=$B$4,0,(C72/100*(E72-MAX(D72,$B$4))/(E72-D72)))</f>
        <v>0.0299</v>
      </c>
      <c r="H72" s="26" t="n">
        <f aca="false">IF(E72&lt;=$B$4,0,(C72/100*(E72-MAX(D72,$B$4))/(E72-D72))*(MAX(D72,$B$4)+E72)/2)</f>
        <v>76.49915</v>
      </c>
      <c r="I72" s="26" t="n">
        <f aca="false">IF(E72&lt;=$B$4,0,(C72/100*(E72-MAX(D72,$B$4))/(E72-D72))*(MAX(D72,$B$4)+E72)/2-(C72/100*(E72-MAX(D72,$B$4))/(E72-D72))*$B$4)</f>
        <v>16.69915</v>
      </c>
    </row>
    <row r="73" customFormat="false" ht="15" hidden="false" customHeight="false" outlineLevel="0" collapsed="false">
      <c r="A73" s="11" t="n">
        <v>2200</v>
      </c>
      <c r="B73" s="11" t="n">
        <v>2300</v>
      </c>
      <c r="C73" s="38" t="n">
        <v>2.6</v>
      </c>
      <c r="D73" s="39" t="n">
        <f aca="false">A73*$B$13</f>
        <v>2618</v>
      </c>
      <c r="E73" s="39" t="n">
        <f aca="false">B73*$B$13</f>
        <v>2737</v>
      </c>
      <c r="F73" s="26" t="n">
        <f aca="false">C73/100*(D73+E73)/2</f>
        <v>69.615</v>
      </c>
      <c r="G73" s="43" t="n">
        <f aca="false">IF(E73&lt;=$B$4,0,(C73/100*(E73-MAX(D73,$B$4))/(E73-D73)))</f>
        <v>0.026</v>
      </c>
      <c r="H73" s="26" t="n">
        <f aca="false">IF(E73&lt;=$B$4,0,(C73/100*(E73-MAX(D73,$B$4))/(E73-D73))*(MAX(D73,$B$4)+E73)/2)</f>
        <v>69.615</v>
      </c>
      <c r="I73" s="26" t="n">
        <f aca="false">IF(E73&lt;=$B$4,0,(C73/100*(E73-MAX(D73,$B$4))/(E73-D73))*(MAX(D73,$B$4)+E73)/2-(C73/100*(E73-MAX(D73,$B$4))/(E73-D73))*$B$4)</f>
        <v>17.615</v>
      </c>
    </row>
    <row r="74" customFormat="false" ht="15" hidden="false" customHeight="false" outlineLevel="0" collapsed="false">
      <c r="A74" s="11" t="n">
        <v>2300</v>
      </c>
      <c r="B74" s="11" t="n">
        <v>2400</v>
      </c>
      <c r="C74" s="38" t="n">
        <v>2.3</v>
      </c>
      <c r="D74" s="39" t="n">
        <f aca="false">A74*$B$13</f>
        <v>2737</v>
      </c>
      <c r="E74" s="39" t="n">
        <f aca="false">B74*$B$13</f>
        <v>2856</v>
      </c>
      <c r="F74" s="26" t="n">
        <f aca="false">C74/100*(D74+E74)/2</f>
        <v>64.3195</v>
      </c>
      <c r="G74" s="43" t="n">
        <f aca="false">IF(E74&lt;=$B$4,0,(C74/100*(E74-MAX(D74,$B$4))/(E74-D74)))</f>
        <v>0.023</v>
      </c>
      <c r="H74" s="26" t="n">
        <f aca="false">IF(E74&lt;=$B$4,0,(C74/100*(E74-MAX(D74,$B$4))/(E74-D74))*(MAX(D74,$B$4)+E74)/2)</f>
        <v>64.3195</v>
      </c>
      <c r="I74" s="26" t="n">
        <f aca="false">IF(E74&lt;=$B$4,0,(C74/100*(E74-MAX(D74,$B$4))/(E74-D74))*(MAX(D74,$B$4)+E74)/2-(C74/100*(E74-MAX(D74,$B$4))/(E74-D74))*$B$4)</f>
        <v>18.3195</v>
      </c>
    </row>
    <row r="75" customFormat="false" ht="15" hidden="false" customHeight="false" outlineLevel="0" collapsed="false">
      <c r="A75" s="11" t="n">
        <v>2400</v>
      </c>
      <c r="B75" s="11" t="n">
        <v>2500</v>
      </c>
      <c r="C75" s="38" t="n">
        <v>1.99</v>
      </c>
      <c r="D75" s="39" t="n">
        <f aca="false">A75*$B$13</f>
        <v>2856</v>
      </c>
      <c r="E75" s="39" t="n">
        <f aca="false">B75*$B$13</f>
        <v>2975</v>
      </c>
      <c r="F75" s="26" t="n">
        <f aca="false">C75/100*(D75+E75)/2</f>
        <v>58.01845</v>
      </c>
      <c r="G75" s="43" t="n">
        <f aca="false">IF(E75&lt;=$B$4,0,(C75/100*(E75-MAX(D75,$B$4))/(E75-D75)))</f>
        <v>0.0199</v>
      </c>
      <c r="H75" s="26" t="n">
        <f aca="false">IF(E75&lt;=$B$4,0,(C75/100*(E75-MAX(D75,$B$4))/(E75-D75))*(MAX(D75,$B$4)+E75)/2)</f>
        <v>58.01845</v>
      </c>
      <c r="I75" s="26" t="n">
        <f aca="false">IF(E75&lt;=$B$4,0,(C75/100*(E75-MAX(D75,$B$4))/(E75-D75))*(MAX(D75,$B$4)+E75)/2-(C75/100*(E75-MAX(D75,$B$4))/(E75-D75))*$B$4)</f>
        <v>18.21845</v>
      </c>
    </row>
    <row r="76" customFormat="false" ht="15" hidden="false" customHeight="false" outlineLevel="0" collapsed="false">
      <c r="A76" s="11" t="n">
        <v>2500</v>
      </c>
      <c r="B76" s="11" t="n">
        <v>2600</v>
      </c>
      <c r="C76" s="38" t="n">
        <v>1.73</v>
      </c>
      <c r="D76" s="39" t="n">
        <f aca="false">A76*$B$13</f>
        <v>2975</v>
      </c>
      <c r="E76" s="39" t="n">
        <f aca="false">B76*$B$13</f>
        <v>3094</v>
      </c>
      <c r="F76" s="26" t="n">
        <f aca="false">C76/100*(D76+E76)/2</f>
        <v>52.49685</v>
      </c>
      <c r="G76" s="43" t="n">
        <f aca="false">IF(E76&lt;=$B$4,0,(C76/100*(E76-MAX(D76,$B$4))/(E76-D76)))</f>
        <v>0.0173</v>
      </c>
      <c r="H76" s="26" t="n">
        <f aca="false">IF(E76&lt;=$B$4,0,(C76/100*(E76-MAX(D76,$B$4))/(E76-D76))*(MAX(D76,$B$4)+E76)/2)</f>
        <v>52.49685</v>
      </c>
      <c r="I76" s="26" t="n">
        <f aca="false">IF(E76&lt;=$B$4,0,(C76/100*(E76-MAX(D76,$B$4))/(E76-D76))*(MAX(D76,$B$4)+E76)/2-(C76/100*(E76-MAX(D76,$B$4))/(E76-D76))*$B$4)</f>
        <v>17.89685</v>
      </c>
    </row>
    <row r="77" customFormat="false" ht="15" hidden="false" customHeight="false" outlineLevel="0" collapsed="false">
      <c r="A77" s="11" t="n">
        <v>2600</v>
      </c>
      <c r="B77" s="11" t="n">
        <v>2700</v>
      </c>
      <c r="C77" s="38" t="n">
        <v>1.53</v>
      </c>
      <c r="D77" s="39" t="n">
        <f aca="false">A77*$B$13</f>
        <v>3094</v>
      </c>
      <c r="E77" s="39" t="n">
        <f aca="false">B77*$B$13</f>
        <v>3213</v>
      </c>
      <c r="F77" s="26" t="n">
        <f aca="false">C77/100*(D77+E77)/2</f>
        <v>48.24855</v>
      </c>
      <c r="G77" s="43" t="n">
        <f aca="false">IF(E77&lt;=$B$4,0,(C77/100*(E77-MAX(D77,$B$4))/(E77-D77)))</f>
        <v>0.0153</v>
      </c>
      <c r="H77" s="26" t="n">
        <f aca="false">IF(E77&lt;=$B$4,0,(C77/100*(E77-MAX(D77,$B$4))/(E77-D77))*(MAX(D77,$B$4)+E77)/2)</f>
        <v>48.24855</v>
      </c>
      <c r="I77" s="26" t="n">
        <f aca="false">IF(E77&lt;=$B$4,0,(C77/100*(E77-MAX(D77,$B$4))/(E77-D77))*(MAX(D77,$B$4)+E77)/2-(C77/100*(E77-MAX(D77,$B$4))/(E77-D77))*$B$4)</f>
        <v>17.64855</v>
      </c>
    </row>
    <row r="78" customFormat="false" ht="15" hidden="false" customHeight="false" outlineLevel="0" collapsed="false">
      <c r="A78" s="11" t="n">
        <v>2700</v>
      </c>
      <c r="B78" s="11" t="n">
        <v>2800</v>
      </c>
      <c r="C78" s="38" t="n">
        <v>1.33</v>
      </c>
      <c r="D78" s="39" t="n">
        <f aca="false">A78*$B$13</f>
        <v>3213</v>
      </c>
      <c r="E78" s="39" t="n">
        <f aca="false">B78*$B$13</f>
        <v>3332</v>
      </c>
      <c r="F78" s="26" t="n">
        <f aca="false">C78/100*(D78+E78)/2</f>
        <v>43.52425</v>
      </c>
      <c r="G78" s="43" t="n">
        <f aca="false">IF(E78&lt;=$B$4,0,(C78/100*(E78-MAX(D78,$B$4))/(E78-D78)))</f>
        <v>0.0133</v>
      </c>
      <c r="H78" s="26" t="n">
        <f aca="false">IF(E78&lt;=$B$4,0,(C78/100*(E78-MAX(D78,$B$4))/(E78-D78))*(MAX(D78,$B$4)+E78)/2)</f>
        <v>43.52425</v>
      </c>
      <c r="I78" s="26" t="n">
        <f aca="false">IF(E78&lt;=$B$4,0,(C78/100*(E78-MAX(D78,$B$4))/(E78-D78))*(MAX(D78,$B$4)+E78)/2-(C78/100*(E78-MAX(D78,$B$4))/(E78-D78))*$B$4)</f>
        <v>16.92425</v>
      </c>
    </row>
    <row r="79" customFormat="false" ht="15" hidden="false" customHeight="false" outlineLevel="0" collapsed="false">
      <c r="A79" s="11" t="n">
        <v>2800</v>
      </c>
      <c r="B79" s="11" t="n">
        <v>2900</v>
      </c>
      <c r="C79" s="38" t="n">
        <v>1.17</v>
      </c>
      <c r="D79" s="39" t="n">
        <f aca="false">A79*$B$13</f>
        <v>3332</v>
      </c>
      <c r="E79" s="39" t="n">
        <f aca="false">B79*$B$13</f>
        <v>3451</v>
      </c>
      <c r="F79" s="26" t="n">
        <f aca="false">C79/100*(D79+E79)/2</f>
        <v>39.68055</v>
      </c>
      <c r="G79" s="43" t="n">
        <f aca="false">IF(E79&lt;=$B$4,0,(C79/100*(E79-MAX(D79,$B$4))/(E79-D79)))</f>
        <v>0.0117</v>
      </c>
      <c r="H79" s="26" t="n">
        <f aca="false">IF(E79&lt;=$B$4,0,(C79/100*(E79-MAX(D79,$B$4))/(E79-D79))*(MAX(D79,$B$4)+E79)/2)</f>
        <v>39.68055</v>
      </c>
      <c r="I79" s="26" t="n">
        <f aca="false">IF(E79&lt;=$B$4,0,(C79/100*(E79-MAX(D79,$B$4))/(E79-D79))*(MAX(D79,$B$4)+E79)/2-(C79/100*(E79-MAX(D79,$B$4))/(E79-D79))*$B$4)</f>
        <v>16.28055</v>
      </c>
    </row>
    <row r="80" customFormat="false" ht="15" hidden="false" customHeight="false" outlineLevel="0" collapsed="false">
      <c r="A80" s="11" t="n">
        <v>2900</v>
      </c>
      <c r="B80" s="11" t="n">
        <v>3000</v>
      </c>
      <c r="C80" s="38" t="n">
        <v>1.01</v>
      </c>
      <c r="D80" s="39" t="n">
        <f aca="false">A80*$B$13</f>
        <v>3451</v>
      </c>
      <c r="E80" s="39" t="n">
        <f aca="false">B80*$B$13</f>
        <v>3570</v>
      </c>
      <c r="F80" s="26" t="n">
        <f aca="false">C80/100*(D80+E80)/2</f>
        <v>35.45605</v>
      </c>
      <c r="G80" s="43" t="n">
        <f aca="false">IF(E80&lt;=$B$4,0,(C80/100*(E80-MAX(D80,$B$4))/(E80-D80)))</f>
        <v>0.0101</v>
      </c>
      <c r="H80" s="26" t="n">
        <f aca="false">IF(E80&lt;=$B$4,0,(C80/100*(E80-MAX(D80,$B$4))/(E80-D80))*(MAX(D80,$B$4)+E80)/2)</f>
        <v>35.45605</v>
      </c>
      <c r="I80" s="26" t="n">
        <f aca="false">IF(E80&lt;=$B$4,0,(C80/100*(E80-MAX(D80,$B$4))/(E80-D80))*(MAX(D80,$B$4)+E80)/2-(C80/100*(E80-MAX(D80,$B$4))/(E80-D80))*$B$4)</f>
        <v>15.25605</v>
      </c>
    </row>
    <row r="81" customFormat="false" ht="15" hidden="false" customHeight="false" outlineLevel="0" collapsed="false">
      <c r="A81" s="11" t="n">
        <v>3000</v>
      </c>
      <c r="B81" s="11" t="n">
        <v>3100</v>
      </c>
      <c r="C81" s="38" t="n">
        <v>0.9</v>
      </c>
      <c r="D81" s="39" t="n">
        <f aca="false">A81*$B$13</f>
        <v>3570</v>
      </c>
      <c r="E81" s="39" t="n">
        <f aca="false">B81*$B$13</f>
        <v>3689</v>
      </c>
      <c r="F81" s="26" t="n">
        <f aca="false">C81/100*(D81+E81)/2</f>
        <v>32.6655</v>
      </c>
      <c r="G81" s="43" t="n">
        <f aca="false">IF(E81&lt;=$B$4,0,(C81/100*(E81-MAX(D81,$B$4))/(E81-D81)))</f>
        <v>0.009</v>
      </c>
      <c r="H81" s="26" t="n">
        <f aca="false">IF(E81&lt;=$B$4,0,(C81/100*(E81-MAX(D81,$B$4))/(E81-D81))*(MAX(D81,$B$4)+E81)/2)</f>
        <v>32.6655</v>
      </c>
      <c r="I81" s="26" t="n">
        <f aca="false">IF(E81&lt;=$B$4,0,(C81/100*(E81-MAX(D81,$B$4))/(E81-D81))*(MAX(D81,$B$4)+E81)/2-(C81/100*(E81-MAX(D81,$B$4))/(E81-D81))*$B$4)</f>
        <v>14.6655</v>
      </c>
    </row>
    <row r="82" customFormat="false" ht="15" hidden="false" customHeight="false" outlineLevel="0" collapsed="false">
      <c r="A82" s="11" t="n">
        <v>3100</v>
      </c>
      <c r="B82" s="11" t="n">
        <v>3200</v>
      </c>
      <c r="C82" s="38" t="n">
        <v>0.76</v>
      </c>
      <c r="D82" s="39" t="n">
        <f aca="false">A82*$B$13</f>
        <v>3689</v>
      </c>
      <c r="E82" s="39" t="n">
        <f aca="false">B82*$B$13</f>
        <v>3808</v>
      </c>
      <c r="F82" s="26" t="n">
        <f aca="false">C82/100*(D82+E82)/2</f>
        <v>28.4886</v>
      </c>
      <c r="G82" s="43" t="n">
        <f aca="false">IF(E82&lt;=$B$4,0,(C82/100*(E82-MAX(D82,$B$4))/(E82-D82)))</f>
        <v>0.0076</v>
      </c>
      <c r="H82" s="26" t="n">
        <f aca="false">IF(E82&lt;=$B$4,0,(C82/100*(E82-MAX(D82,$B$4))/(E82-D82))*(MAX(D82,$B$4)+E82)/2)</f>
        <v>28.4886</v>
      </c>
      <c r="I82" s="26" t="n">
        <f aca="false">IF(E82&lt;=$B$4,0,(C82/100*(E82-MAX(D82,$B$4))/(E82-D82))*(MAX(D82,$B$4)+E82)/2-(C82/100*(E82-MAX(D82,$B$4))/(E82-D82))*$B$4)</f>
        <v>13.2886</v>
      </c>
    </row>
    <row r="83" customFormat="false" ht="15" hidden="false" customHeight="false" outlineLevel="0" collapsed="false">
      <c r="A83" s="11" t="n">
        <v>3200</v>
      </c>
      <c r="B83" s="11" t="n">
        <v>3300</v>
      </c>
      <c r="C83" s="38" t="n">
        <v>0.67</v>
      </c>
      <c r="D83" s="39" t="n">
        <f aca="false">A83*$B$13</f>
        <v>3808</v>
      </c>
      <c r="E83" s="39" t="n">
        <f aca="false">B83*$B$13</f>
        <v>3927</v>
      </c>
      <c r="F83" s="26" t="n">
        <f aca="false">C83/100*(D83+E83)/2</f>
        <v>25.91225</v>
      </c>
      <c r="G83" s="43" t="n">
        <f aca="false">IF(E83&lt;=$B$4,0,(C83/100*(E83-MAX(D83,$B$4))/(E83-D83)))</f>
        <v>0.0067</v>
      </c>
      <c r="H83" s="26" t="n">
        <f aca="false">IF(E83&lt;=$B$4,0,(C83/100*(E83-MAX(D83,$B$4))/(E83-D83))*(MAX(D83,$B$4)+E83)/2)</f>
        <v>25.91225</v>
      </c>
      <c r="I83" s="26" t="n">
        <f aca="false">IF(E83&lt;=$B$4,0,(C83/100*(E83-MAX(D83,$B$4))/(E83-D83))*(MAX(D83,$B$4)+E83)/2-(C83/100*(E83-MAX(D83,$B$4))/(E83-D83))*$B$4)</f>
        <v>12.51225</v>
      </c>
    </row>
    <row r="84" customFormat="false" ht="15" hidden="false" customHeight="false" outlineLevel="0" collapsed="false">
      <c r="A84" s="11" t="n">
        <v>3300</v>
      </c>
      <c r="B84" s="11" t="n">
        <v>3400</v>
      </c>
      <c r="C84" s="38" t="n">
        <v>0.57</v>
      </c>
      <c r="D84" s="39" t="n">
        <f aca="false">A84*$B$13</f>
        <v>3927</v>
      </c>
      <c r="E84" s="39" t="n">
        <f aca="false">B84*$B$13</f>
        <v>4046</v>
      </c>
      <c r="F84" s="26" t="n">
        <f aca="false">C84/100*(D84+E84)/2</f>
        <v>22.72305</v>
      </c>
      <c r="G84" s="43" t="n">
        <f aca="false">IF(E84&lt;=$B$4,0,(C84/100*(E84-MAX(D84,$B$4))/(E84-D84)))</f>
        <v>0.0057</v>
      </c>
      <c r="H84" s="26" t="n">
        <f aca="false">IF(E84&lt;=$B$4,0,(C84/100*(E84-MAX(D84,$B$4))/(E84-D84))*(MAX(D84,$B$4)+E84)/2)</f>
        <v>22.72305</v>
      </c>
      <c r="I84" s="26" t="n">
        <f aca="false">IF(E84&lt;=$B$4,0,(C84/100*(E84-MAX(D84,$B$4))/(E84-D84))*(MAX(D84,$B$4)+E84)/2-(C84/100*(E84-MAX(D84,$B$4))/(E84-D84))*$B$4)</f>
        <v>11.32305</v>
      </c>
    </row>
    <row r="85" customFormat="false" ht="15" hidden="false" customHeight="false" outlineLevel="0" collapsed="false">
      <c r="A85" s="11" t="n">
        <v>3400</v>
      </c>
      <c r="B85" s="11" t="n">
        <v>3500</v>
      </c>
      <c r="C85" s="38" t="n">
        <v>0.51</v>
      </c>
      <c r="D85" s="39" t="n">
        <f aca="false">A85*$B$13</f>
        <v>4046</v>
      </c>
      <c r="E85" s="39" t="n">
        <f aca="false">B85*$B$13</f>
        <v>4165</v>
      </c>
      <c r="F85" s="26" t="n">
        <f aca="false">C85/100*(D85+E85)/2</f>
        <v>20.93805</v>
      </c>
      <c r="G85" s="43" t="n">
        <f aca="false">IF(E85&lt;=$B$4,0,(C85/100*(E85-MAX(D85,$B$4))/(E85-D85)))</f>
        <v>0.0051</v>
      </c>
      <c r="H85" s="26" t="n">
        <f aca="false">IF(E85&lt;=$B$4,0,(C85/100*(E85-MAX(D85,$B$4))/(E85-D85))*(MAX(D85,$B$4)+E85)/2)</f>
        <v>20.93805</v>
      </c>
      <c r="I85" s="26" t="n">
        <f aca="false">IF(E85&lt;=$B$4,0,(C85/100*(E85-MAX(D85,$B$4))/(E85-D85))*(MAX(D85,$B$4)+E85)/2-(C85/100*(E85-MAX(D85,$B$4))/(E85-D85))*$B$4)</f>
        <v>10.73805</v>
      </c>
    </row>
    <row r="86" customFormat="false" ht="15" hidden="false" customHeight="false" outlineLevel="0" collapsed="false">
      <c r="A86" s="11" t="n">
        <v>3500</v>
      </c>
      <c r="B86" s="11" t="n">
        <v>3600</v>
      </c>
      <c r="C86" s="38" t="n">
        <v>0.46</v>
      </c>
      <c r="D86" s="39" t="n">
        <f aca="false">A86*$B$13</f>
        <v>4165</v>
      </c>
      <c r="E86" s="39" t="n">
        <f aca="false">B86*$B$13</f>
        <v>4284</v>
      </c>
      <c r="F86" s="26" t="n">
        <f aca="false">C86/100*(D86+E86)/2</f>
        <v>19.4327</v>
      </c>
      <c r="G86" s="43" t="n">
        <f aca="false">IF(E86&lt;=$B$4,0,(C86/100*(E86-MAX(D86,$B$4))/(E86-D86)))</f>
        <v>0.0046</v>
      </c>
      <c r="H86" s="26" t="n">
        <f aca="false">IF(E86&lt;=$B$4,0,(C86/100*(E86-MAX(D86,$B$4))/(E86-D86))*(MAX(D86,$B$4)+E86)/2)</f>
        <v>19.4327</v>
      </c>
      <c r="I86" s="26" t="n">
        <f aca="false">IF(E86&lt;=$B$4,0,(C86/100*(E86-MAX(D86,$B$4))/(E86-D86))*(MAX(D86,$B$4)+E86)/2-(C86/100*(E86-MAX(D86,$B$4))/(E86-D86))*$B$4)</f>
        <v>10.2327</v>
      </c>
    </row>
    <row r="87" customFormat="false" ht="15" hidden="false" customHeight="false" outlineLevel="0" collapsed="false">
      <c r="A87" s="11" t="n">
        <v>3600</v>
      </c>
      <c r="B87" s="11" t="n">
        <v>3700</v>
      </c>
      <c r="C87" s="38" t="n">
        <v>0.4</v>
      </c>
      <c r="D87" s="39" t="n">
        <f aca="false">A87*$B$13</f>
        <v>4284</v>
      </c>
      <c r="E87" s="39" t="n">
        <f aca="false">B87*$B$13</f>
        <v>4403</v>
      </c>
      <c r="F87" s="26" t="n">
        <f aca="false">C87/100*(D87+E87)/2</f>
        <v>17.374</v>
      </c>
      <c r="G87" s="43" t="n">
        <f aca="false">IF(E87&lt;=$B$4,0,(C87/100*(E87-MAX(D87,$B$4))/(E87-D87)))</f>
        <v>0.004</v>
      </c>
      <c r="H87" s="26" t="n">
        <f aca="false">IF(E87&lt;=$B$4,0,(C87/100*(E87-MAX(D87,$B$4))/(E87-D87))*(MAX(D87,$B$4)+E87)/2)</f>
        <v>17.374</v>
      </c>
      <c r="I87" s="26" t="n">
        <f aca="false">IF(E87&lt;=$B$4,0,(C87/100*(E87-MAX(D87,$B$4))/(E87-D87))*(MAX(D87,$B$4)+E87)/2-(C87/100*(E87-MAX(D87,$B$4))/(E87-D87))*$B$4)</f>
        <v>9.374</v>
      </c>
    </row>
    <row r="88" customFormat="false" ht="15" hidden="false" customHeight="false" outlineLevel="0" collapsed="false">
      <c r="A88" s="11" t="n">
        <v>3700</v>
      </c>
      <c r="B88" s="11" t="n">
        <v>3800</v>
      </c>
      <c r="C88" s="38" t="n">
        <v>0.38</v>
      </c>
      <c r="D88" s="39" t="n">
        <f aca="false">A88*$B$13</f>
        <v>4403</v>
      </c>
      <c r="E88" s="39" t="n">
        <f aca="false">B88*$B$13</f>
        <v>4522</v>
      </c>
      <c r="F88" s="26" t="n">
        <f aca="false">C88/100*(D88+E88)/2</f>
        <v>16.9575</v>
      </c>
      <c r="G88" s="43" t="n">
        <f aca="false">IF(E88&lt;=$B$4,0,(C88/100*(E88-MAX(D88,$B$4))/(E88-D88)))</f>
        <v>0.0038</v>
      </c>
      <c r="H88" s="26" t="n">
        <f aca="false">IF(E88&lt;=$B$4,0,(C88/100*(E88-MAX(D88,$B$4))/(E88-D88))*(MAX(D88,$B$4)+E88)/2)</f>
        <v>16.9575</v>
      </c>
      <c r="I88" s="26" t="n">
        <f aca="false">IF(E88&lt;=$B$4,0,(C88/100*(E88-MAX(D88,$B$4))/(E88-D88))*(MAX(D88,$B$4)+E88)/2-(C88/100*(E88-MAX(D88,$B$4))/(E88-D88))*$B$4)</f>
        <v>9.3575</v>
      </c>
    </row>
    <row r="89" customFormat="false" ht="15" hidden="false" customHeight="false" outlineLevel="0" collapsed="false">
      <c r="A89" s="11" t="n">
        <v>3800</v>
      </c>
      <c r="B89" s="11" t="n">
        <v>3900</v>
      </c>
      <c r="C89" s="38" t="n">
        <v>0.31</v>
      </c>
      <c r="D89" s="39" t="n">
        <f aca="false">A89*$B$13</f>
        <v>4522</v>
      </c>
      <c r="E89" s="39" t="n">
        <f aca="false">B89*$B$13</f>
        <v>4641</v>
      </c>
      <c r="F89" s="26" t="n">
        <f aca="false">C89/100*(D89+E89)/2</f>
        <v>14.20265</v>
      </c>
      <c r="G89" s="43" t="n">
        <f aca="false">IF(E89&lt;=$B$4,0,(C89/100*(E89-MAX(D89,$B$4))/(E89-D89)))</f>
        <v>0.0031</v>
      </c>
      <c r="H89" s="26" t="n">
        <f aca="false">IF(E89&lt;=$B$4,0,(C89/100*(E89-MAX(D89,$B$4))/(E89-D89))*(MAX(D89,$B$4)+E89)/2)</f>
        <v>14.20265</v>
      </c>
      <c r="I89" s="26" t="n">
        <f aca="false">IF(E89&lt;=$B$4,0,(C89/100*(E89-MAX(D89,$B$4))/(E89-D89))*(MAX(D89,$B$4)+E89)/2-(C89/100*(E89-MAX(D89,$B$4))/(E89-D89))*$B$4)</f>
        <v>8.00265</v>
      </c>
    </row>
    <row r="90" customFormat="false" ht="15" hidden="false" customHeight="false" outlineLevel="0" collapsed="false">
      <c r="A90" s="11" t="n">
        <v>3900</v>
      </c>
      <c r="B90" s="11" t="n">
        <v>4000</v>
      </c>
      <c r="C90" s="38" t="n">
        <v>0.29</v>
      </c>
      <c r="D90" s="39" t="n">
        <f aca="false">A90*$B$13</f>
        <v>4641</v>
      </c>
      <c r="E90" s="39" t="n">
        <f aca="false">B90*$B$13</f>
        <v>4760</v>
      </c>
      <c r="F90" s="26" t="n">
        <f aca="false">C90/100*(D90+E90)/2</f>
        <v>13.63145</v>
      </c>
      <c r="G90" s="43" t="n">
        <f aca="false">IF(E90&lt;=$B$4,0,(C90/100*(E90-MAX(D90,$B$4))/(E90-D90)))</f>
        <v>0.0029</v>
      </c>
      <c r="H90" s="26" t="n">
        <f aca="false">IF(E90&lt;=$B$4,0,(C90/100*(E90-MAX(D90,$B$4))/(E90-D90))*(MAX(D90,$B$4)+E90)/2)</f>
        <v>13.63145</v>
      </c>
      <c r="I90" s="26" t="n">
        <f aca="false">IF(E90&lt;=$B$4,0,(C90/100*(E90-MAX(D90,$B$4))/(E90-D90))*(MAX(D90,$B$4)+E90)/2-(C90/100*(E90-MAX(D90,$B$4))/(E90-D90))*$B$4)</f>
        <v>7.83145</v>
      </c>
    </row>
    <row r="91" customFormat="false" ht="15" hidden="false" customHeight="false" outlineLevel="0" collapsed="false">
      <c r="A91" s="11" t="n">
        <v>4000</v>
      </c>
      <c r="B91" s="11" t="n">
        <v>4100</v>
      </c>
      <c r="C91" s="38" t="n">
        <v>0.26</v>
      </c>
      <c r="D91" s="39" t="n">
        <f aca="false">A91*$B$13</f>
        <v>4760</v>
      </c>
      <c r="E91" s="39" t="n">
        <f aca="false">B91*$B$13</f>
        <v>4879</v>
      </c>
      <c r="F91" s="26" t="n">
        <f aca="false">C91/100*(D91+E91)/2</f>
        <v>12.5307</v>
      </c>
      <c r="G91" s="43" t="n">
        <f aca="false">IF(E91&lt;=$B$4,0,(C91/100*(E91-MAX(D91,$B$4))/(E91-D91)))</f>
        <v>0.0026</v>
      </c>
      <c r="H91" s="26" t="n">
        <f aca="false">IF(E91&lt;=$B$4,0,(C91/100*(E91-MAX(D91,$B$4))/(E91-D91))*(MAX(D91,$B$4)+E91)/2)</f>
        <v>12.5307</v>
      </c>
      <c r="I91" s="26" t="n">
        <f aca="false">IF(E91&lt;=$B$4,0,(C91/100*(E91-MAX(D91,$B$4))/(E91-D91))*(MAX(D91,$B$4)+E91)/2-(C91/100*(E91-MAX(D91,$B$4))/(E91-D91))*$B$4)</f>
        <v>7.3307</v>
      </c>
    </row>
    <row r="92" customFormat="false" ht="15" hidden="false" customHeight="false" outlineLevel="0" collapsed="false">
      <c r="A92" s="11" t="n">
        <v>4100</v>
      </c>
      <c r="B92" s="11" t="n">
        <v>4200</v>
      </c>
      <c r="C92" s="38" t="n">
        <v>0.22</v>
      </c>
      <c r="D92" s="39" t="n">
        <f aca="false">A92*$B$13</f>
        <v>4879</v>
      </c>
      <c r="E92" s="39" t="n">
        <f aca="false">B92*$B$13</f>
        <v>4998</v>
      </c>
      <c r="F92" s="26" t="n">
        <f aca="false">C92/100*(D92+E92)/2</f>
        <v>10.8647</v>
      </c>
      <c r="G92" s="43" t="n">
        <f aca="false">IF(E92&lt;=$B$4,0,(C92/100*(E92-MAX(D92,$B$4))/(E92-D92)))</f>
        <v>0.0022</v>
      </c>
      <c r="H92" s="26" t="n">
        <f aca="false">IF(E92&lt;=$B$4,0,(C92/100*(E92-MAX(D92,$B$4))/(E92-D92))*(MAX(D92,$B$4)+E92)/2)</f>
        <v>10.8647</v>
      </c>
      <c r="I92" s="26" t="n">
        <f aca="false">IF(E92&lt;=$B$4,0,(C92/100*(E92-MAX(D92,$B$4))/(E92-D92))*(MAX(D92,$B$4)+E92)/2-(C92/100*(E92-MAX(D92,$B$4))/(E92-D92))*$B$4)</f>
        <v>6.4647</v>
      </c>
    </row>
    <row r="93" customFormat="false" ht="15" hidden="false" customHeight="false" outlineLevel="0" collapsed="false">
      <c r="A93" s="11" t="n">
        <v>4200</v>
      </c>
      <c r="B93" s="11" t="n">
        <v>4300</v>
      </c>
      <c r="C93" s="38" t="n">
        <v>0.2</v>
      </c>
      <c r="D93" s="39" t="n">
        <f aca="false">A93*$B$13</f>
        <v>4998</v>
      </c>
      <c r="E93" s="39" t="n">
        <f aca="false">B93*$B$13</f>
        <v>5117</v>
      </c>
      <c r="F93" s="26" t="n">
        <f aca="false">C93/100*(D93+E93)/2</f>
        <v>10.115</v>
      </c>
      <c r="G93" s="43" t="n">
        <f aca="false">IF(E93&lt;=$B$4,0,(C93/100*(E93-MAX(D93,$B$4))/(E93-D93)))</f>
        <v>0.002</v>
      </c>
      <c r="H93" s="26" t="n">
        <f aca="false">IF(E93&lt;=$B$4,0,(C93/100*(E93-MAX(D93,$B$4))/(E93-D93))*(MAX(D93,$B$4)+E93)/2)</f>
        <v>10.115</v>
      </c>
      <c r="I93" s="26" t="n">
        <f aca="false">IF(E93&lt;=$B$4,0,(C93/100*(E93-MAX(D93,$B$4))/(E93-D93))*(MAX(D93,$B$4)+E93)/2-(C93/100*(E93-MAX(D93,$B$4))/(E93-D93))*$B$4)</f>
        <v>6.115</v>
      </c>
    </row>
    <row r="94" customFormat="false" ht="15" hidden="false" customHeight="false" outlineLevel="0" collapsed="false">
      <c r="A94" s="11" t="n">
        <v>4300</v>
      </c>
      <c r="B94" s="11" t="n">
        <v>4400</v>
      </c>
      <c r="C94" s="38" t="n">
        <v>0.19</v>
      </c>
      <c r="D94" s="39" t="n">
        <f aca="false">A94*$B$13</f>
        <v>5117</v>
      </c>
      <c r="E94" s="39" t="n">
        <f aca="false">B94*$B$13</f>
        <v>5236</v>
      </c>
      <c r="F94" s="26" t="n">
        <f aca="false">C94/100*(D94+E94)/2</f>
        <v>9.83535</v>
      </c>
      <c r="G94" s="43" t="n">
        <f aca="false">IF(E94&lt;=$B$4,0,(C94/100*(E94-MAX(D94,$B$4))/(E94-D94)))</f>
        <v>0.0019</v>
      </c>
      <c r="H94" s="26" t="n">
        <f aca="false">IF(E94&lt;=$B$4,0,(C94/100*(E94-MAX(D94,$B$4))/(E94-D94))*(MAX(D94,$B$4)+E94)/2)</f>
        <v>9.83535</v>
      </c>
      <c r="I94" s="26" t="n">
        <f aca="false">IF(E94&lt;=$B$4,0,(C94/100*(E94-MAX(D94,$B$4))/(E94-D94))*(MAX(D94,$B$4)+E94)/2-(C94/100*(E94-MAX(D94,$B$4))/(E94-D94))*$B$4)</f>
        <v>6.03535</v>
      </c>
    </row>
    <row r="95" customFormat="false" ht="15" hidden="false" customHeight="false" outlineLevel="0" collapsed="false">
      <c r="A95" s="11" t="n">
        <v>4400</v>
      </c>
      <c r="B95" s="11" t="n">
        <v>4500</v>
      </c>
      <c r="C95" s="38" t="n">
        <v>0.18</v>
      </c>
      <c r="D95" s="39" t="n">
        <f aca="false">A95*$B$13</f>
        <v>5236</v>
      </c>
      <c r="E95" s="39" t="n">
        <f aca="false">B95*$B$13</f>
        <v>5355</v>
      </c>
      <c r="F95" s="26" t="n">
        <f aca="false">C95/100*(D95+E95)/2</f>
        <v>9.5319</v>
      </c>
      <c r="G95" s="43" t="n">
        <f aca="false">IF(E95&lt;=$B$4,0,(C95/100*(E95-MAX(D95,$B$4))/(E95-D95)))</f>
        <v>0.0018</v>
      </c>
      <c r="H95" s="26" t="n">
        <f aca="false">IF(E95&lt;=$B$4,0,(C95/100*(E95-MAX(D95,$B$4))/(E95-D95))*(MAX(D95,$B$4)+E95)/2)</f>
        <v>9.5319</v>
      </c>
      <c r="I95" s="26" t="n">
        <f aca="false">IF(E95&lt;=$B$4,0,(C95/100*(E95-MAX(D95,$B$4))/(E95-D95))*(MAX(D95,$B$4)+E95)/2-(C95/100*(E95-MAX(D95,$B$4))/(E95-D95))*$B$4)</f>
        <v>5.9319</v>
      </c>
    </row>
    <row r="96" customFormat="false" ht="15" hidden="false" customHeight="false" outlineLevel="0" collapsed="false">
      <c r="A96" s="11" t="n">
        <v>4500</v>
      </c>
      <c r="B96" s="7" t="s">
        <v>180</v>
      </c>
      <c r="C96" s="38" t="n">
        <v>1.82</v>
      </c>
      <c r="D96" s="39" t="n">
        <f aca="false">A96*$B$13</f>
        <v>5355</v>
      </c>
      <c r="E96" s="39" t="n">
        <f aca="false">$B$14*$B$13</f>
        <v>7140</v>
      </c>
      <c r="F96" s="26" t="n">
        <f aca="false">C96/100*E96</f>
        <v>129.948</v>
      </c>
      <c r="G96" s="43" t="n">
        <f aca="false">IF(E96&gt;$B$4,C96/100,0)</f>
        <v>0.0182</v>
      </c>
      <c r="H96" s="26" t="n">
        <f aca="false">IF(E96&gt;$B$4,C96/100*E96,0)</f>
        <v>129.948</v>
      </c>
      <c r="I96" s="26" t="n">
        <f aca="false">IF(E96&gt;$B$4,C96/100*(E96-$B$4),0)</f>
        <v>93.548</v>
      </c>
    </row>
    <row r="97" customFormat="false" ht="15" hidden="false" customHeight="false" outlineLevel="0" collapsed="false">
      <c r="A97" s="3" t="s">
        <v>181</v>
      </c>
      <c r="F97" s="44" t="n">
        <f aca="false">SUM(F51:F96)</f>
        <v>1937.52825</v>
      </c>
      <c r="G97" s="45" t="n">
        <f aca="false">SUM(G51:G96)</f>
        <v>0.412539495798319</v>
      </c>
      <c r="H97" s="44" t="n">
        <f aca="false">SUM(H51:H96)</f>
        <v>1252.34249579832</v>
      </c>
      <c r="I97" s="44" t="n">
        <f aca="false">SUM(I51:I96)</f>
        <v>427.263504201681</v>
      </c>
    </row>
  </sheetData>
  <dataValidations count="2">
    <dataValidation allowBlank="false" errorStyle="stop" operator="between" showDropDown="false" showErrorMessage="false" showInputMessage="false" sqref="B6" type="list">
      <formula1>"Toute la pension,Seulement au-delà du seuil"</formula1>
      <formula2>0</formula2>
    </dataValidation>
    <dataValidation allowBlank="false" errorStyle="stop" operator="between" showDropDown="false" showErrorMessage="false" showInputMessage="false" sqref="B8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9" min="6" style="0" width="14"/>
  </cols>
  <sheetData>
    <row r="1" customFormat="false" ht="17.35" hidden="false" customHeight="false" outlineLevel="0" collapsed="false">
      <c r="A1" s="1" t="s">
        <v>182</v>
      </c>
    </row>
    <row r="4" customFormat="false" ht="15" hidden="false" customHeight="false" outlineLevel="0" collapsed="false">
      <c r="A4" s="4" t="s">
        <v>183</v>
      </c>
      <c r="B4" s="19" t="n">
        <v>4000</v>
      </c>
    </row>
    <row r="5" customFormat="false" ht="15" hidden="false" customHeight="false" outlineLevel="0" collapsed="false">
      <c r="A5" s="4" t="s">
        <v>83</v>
      </c>
      <c r="B5" s="19" t="n">
        <v>5000</v>
      </c>
    </row>
    <row r="6" customFormat="false" ht="15" hidden="false" customHeight="false" outlineLevel="0" collapsed="false">
      <c r="A6" s="4" t="s">
        <v>184</v>
      </c>
      <c r="B6" s="18" t="n">
        <v>0</v>
      </c>
    </row>
    <row r="8" customFormat="false" ht="15" hidden="false" customHeight="false" outlineLevel="0" collapsed="false">
      <c r="A8" s="2" t="s">
        <v>185</v>
      </c>
    </row>
    <row r="10" customFormat="false" ht="15" hidden="false" customHeight="false" outlineLevel="0" collapsed="false">
      <c r="A10" s="3" t="s">
        <v>157</v>
      </c>
    </row>
    <row r="11" customFormat="false" ht="15" hidden="false" customHeight="false" outlineLevel="0" collapsed="false">
      <c r="A11" s="4" t="s">
        <v>186</v>
      </c>
      <c r="B11" s="28" t="n">
        <f aca="false">G77</f>
        <v>0.0544033613445378</v>
      </c>
    </row>
    <row r="12" customFormat="false" ht="15" hidden="false" customHeight="false" outlineLevel="0" collapsed="false">
      <c r="A12" s="4" t="s">
        <v>81</v>
      </c>
      <c r="B12" s="39" t="n">
        <f aca="false">G77*Gel!$B$12</f>
        <v>941178.151260504</v>
      </c>
    </row>
    <row r="13" customFormat="false" ht="15" hidden="false" customHeight="false" outlineLevel="0" collapsed="false">
      <c r="A13" s="4" t="s">
        <v>187</v>
      </c>
      <c r="B13" s="31" t="n">
        <f aca="false">Gel!$B$12*12*I77/1000000000</f>
        <v>15.9047918097479</v>
      </c>
    </row>
    <row r="14" customFormat="false" ht="15" hidden="false" customHeight="false" outlineLevel="0" collapsed="false">
      <c r="A14" s="4" t="s">
        <v>188</v>
      </c>
      <c r="B14" s="28" t="n">
        <f aca="false">B13/(Gel!$B$12*12*F77/1000000000)</f>
        <v>0.0395414504593285</v>
      </c>
    </row>
    <row r="15" customFormat="false" ht="15" hidden="false" customHeight="false" outlineLevel="0" collapsed="false">
      <c r="A15" s="4" t="s">
        <v>160</v>
      </c>
      <c r="B15" s="40" t="n">
        <f aca="false">B13*Gel!$B$15</f>
        <v>12.4057376116034</v>
      </c>
    </row>
    <row r="16" customFormat="false" ht="15" hidden="false" customHeight="false" outlineLevel="0" collapsed="false">
      <c r="A16" s="4" t="s">
        <v>163</v>
      </c>
      <c r="B16" s="46" t="n">
        <f aca="false">MAX(0,$B$5-$B$4)</f>
        <v>1000</v>
      </c>
    </row>
    <row r="17" customFormat="false" ht="15" hidden="false" customHeight="false" outlineLevel="0" collapsed="false">
      <c r="A17" s="4" t="s">
        <v>78</v>
      </c>
      <c r="B17" s="22" t="n">
        <f aca="false">Paramètres!$B$27*(B13*$B$6/(Paramètres!$B$6*Paramètres!$B$7))</f>
        <v>0</v>
      </c>
    </row>
    <row r="18" customFormat="false" ht="15" hidden="false" customHeight="false" outlineLevel="0" collapsed="false">
      <c r="A18" s="4" t="s">
        <v>79</v>
      </c>
      <c r="B18" s="22" t="n">
        <f aca="false">-Paramètres!$B$26*B13/Paramètres!$B$28</f>
        <v>-0.0309348200699597</v>
      </c>
    </row>
    <row r="29" customFormat="false" ht="15" hidden="false" customHeight="false" outlineLevel="0" collapsed="false">
      <c r="A29" s="3" t="s">
        <v>189</v>
      </c>
    </row>
    <row r="30" customFormat="false" ht="23.85" hidden="false" customHeight="false" outlineLevel="0" collapsed="false">
      <c r="A30" s="10" t="s">
        <v>171</v>
      </c>
      <c r="B30" s="10" t="s">
        <v>172</v>
      </c>
      <c r="C30" s="10" t="s">
        <v>173</v>
      </c>
      <c r="D30" s="10" t="s">
        <v>174</v>
      </c>
      <c r="E30" s="10" t="s">
        <v>175</v>
      </c>
      <c r="F30" s="10" t="s">
        <v>176</v>
      </c>
      <c r="G30" s="10" t="s">
        <v>177</v>
      </c>
      <c r="H30" s="10" t="s">
        <v>178</v>
      </c>
      <c r="I30" s="10" t="s">
        <v>179</v>
      </c>
    </row>
    <row r="31" customFormat="false" ht="15" hidden="false" customHeight="false" outlineLevel="0" collapsed="false">
      <c r="A31" s="11" t="n">
        <v>0</v>
      </c>
      <c r="B31" s="11" t="n">
        <v>100</v>
      </c>
      <c r="C31" s="38" t="n">
        <v>2.43</v>
      </c>
      <c r="D31" s="39" t="n">
        <f aca="false">A31*Gel!$B$13</f>
        <v>0</v>
      </c>
      <c r="E31" s="39" t="n">
        <f aca="false">B31*Gel!$B$13</f>
        <v>119</v>
      </c>
      <c r="F31" s="26" t="n">
        <f aca="false">C31/100*(D31+E31)/2</f>
        <v>1.44585</v>
      </c>
      <c r="G31" s="43" t="n">
        <f aca="false">IF(E31&lt;=$B$4,0,(C31/100*(E31-MAX(D31,$B$4))/(E31-D31)))</f>
        <v>0</v>
      </c>
      <c r="H31" s="26" t="n">
        <f aca="false">IF(E31&lt;=$B$4,0,(C31/100*(E31-MAX(D31,$B$4))/(E31-D31))*(MAX(D31,$B$4)+E31)/2)</f>
        <v>0</v>
      </c>
      <c r="I31" s="26" t="n">
        <f aca="false">IF(E31&lt;=$B$4,0,(C31/100*(E31-MAX(D31,$B$4))/(E31-D31))*(MAX(D31,$B$4)+E31)/2-(C31/100*(E31-MAX(D31,$B$4))/(E31-D31))*$B$4)</f>
        <v>0</v>
      </c>
    </row>
    <row r="32" customFormat="false" ht="15" hidden="false" customHeight="false" outlineLevel="0" collapsed="false">
      <c r="A32" s="11" t="n">
        <v>100</v>
      </c>
      <c r="B32" s="11" t="n">
        <v>200</v>
      </c>
      <c r="C32" s="38" t="n">
        <v>2.46</v>
      </c>
      <c r="D32" s="39" t="n">
        <f aca="false">A32*Gel!$B$13</f>
        <v>119</v>
      </c>
      <c r="E32" s="39" t="n">
        <f aca="false">B32*Gel!$B$13</f>
        <v>238</v>
      </c>
      <c r="F32" s="26" t="n">
        <f aca="false">C32/100*(D32+E32)/2</f>
        <v>4.3911</v>
      </c>
      <c r="G32" s="43" t="n">
        <f aca="false">IF(E32&lt;=$B$4,0,(C32/100*(E32-MAX(D32,$B$4))/(E32-D32)))</f>
        <v>0</v>
      </c>
      <c r="H32" s="26" t="n">
        <f aca="false">IF(E32&lt;=$B$4,0,(C32/100*(E32-MAX(D32,$B$4))/(E32-D32))*(MAX(D32,$B$4)+E32)/2)</f>
        <v>0</v>
      </c>
      <c r="I32" s="26" t="n">
        <f aca="false">IF(E32&lt;=$B$4,0,(C32/100*(E32-MAX(D32,$B$4))/(E32-D32))*(MAX(D32,$B$4)+E32)/2-(C32/100*(E32-MAX(D32,$B$4))/(E32-D32))*$B$4)</f>
        <v>0</v>
      </c>
    </row>
    <row r="33" customFormat="false" ht="15" hidden="false" customHeight="false" outlineLevel="0" collapsed="false">
      <c r="A33" s="11" t="n">
        <v>200</v>
      </c>
      <c r="B33" s="11" t="n">
        <v>300</v>
      </c>
      <c r="C33" s="38" t="n">
        <v>2.35</v>
      </c>
      <c r="D33" s="39" t="n">
        <f aca="false">A33*Gel!$B$13</f>
        <v>238</v>
      </c>
      <c r="E33" s="39" t="n">
        <f aca="false">B33*Gel!$B$13</f>
        <v>357</v>
      </c>
      <c r="F33" s="26" t="n">
        <f aca="false">C33/100*(D33+E33)/2</f>
        <v>6.99125</v>
      </c>
      <c r="G33" s="43" t="n">
        <f aca="false">IF(E33&lt;=$B$4,0,(C33/100*(E33-MAX(D33,$B$4))/(E33-D33)))</f>
        <v>0</v>
      </c>
      <c r="H33" s="26" t="n">
        <f aca="false">IF(E33&lt;=$B$4,0,(C33/100*(E33-MAX(D33,$B$4))/(E33-D33))*(MAX(D33,$B$4)+E33)/2)</f>
        <v>0</v>
      </c>
      <c r="I33" s="26" t="n">
        <f aca="false">IF(E33&lt;=$B$4,0,(C33/100*(E33-MAX(D33,$B$4))/(E33-D33))*(MAX(D33,$B$4)+E33)/2-(C33/100*(E33-MAX(D33,$B$4))/(E33-D33))*$B$4)</f>
        <v>0</v>
      </c>
    </row>
    <row r="34" customFormat="false" ht="15" hidden="false" customHeight="false" outlineLevel="0" collapsed="false">
      <c r="A34" s="11" t="n">
        <v>300</v>
      </c>
      <c r="B34" s="11" t="n">
        <v>400</v>
      </c>
      <c r="C34" s="38" t="n">
        <v>2.17</v>
      </c>
      <c r="D34" s="39" t="n">
        <f aca="false">A34*Gel!$B$13</f>
        <v>357</v>
      </c>
      <c r="E34" s="39" t="n">
        <f aca="false">B34*Gel!$B$13</f>
        <v>476</v>
      </c>
      <c r="F34" s="26" t="n">
        <f aca="false">C34/100*(D34+E34)/2</f>
        <v>9.03805</v>
      </c>
      <c r="G34" s="43" t="n">
        <f aca="false">IF(E34&lt;=$B$4,0,(C34/100*(E34-MAX(D34,$B$4))/(E34-D34)))</f>
        <v>0</v>
      </c>
      <c r="H34" s="26" t="n">
        <f aca="false">IF(E34&lt;=$B$4,0,(C34/100*(E34-MAX(D34,$B$4))/(E34-D34))*(MAX(D34,$B$4)+E34)/2)</f>
        <v>0</v>
      </c>
      <c r="I34" s="26" t="n">
        <f aca="false">IF(E34&lt;=$B$4,0,(C34/100*(E34-MAX(D34,$B$4))/(E34-D34))*(MAX(D34,$B$4)+E34)/2-(C34/100*(E34-MAX(D34,$B$4))/(E34-D34))*$B$4)</f>
        <v>0</v>
      </c>
    </row>
    <row r="35" customFormat="false" ht="15" hidden="false" customHeight="false" outlineLevel="0" collapsed="false">
      <c r="A35" s="11" t="n">
        <v>400</v>
      </c>
      <c r="B35" s="11" t="n">
        <v>500</v>
      </c>
      <c r="C35" s="38" t="n">
        <v>2</v>
      </c>
      <c r="D35" s="39" t="n">
        <f aca="false">A35*Gel!$B$13</f>
        <v>476</v>
      </c>
      <c r="E35" s="39" t="n">
        <f aca="false">B35*Gel!$B$13</f>
        <v>595</v>
      </c>
      <c r="F35" s="26" t="n">
        <f aca="false">C35/100*(D35+E35)/2</f>
        <v>10.71</v>
      </c>
      <c r="G35" s="43" t="n">
        <f aca="false">IF(E35&lt;=$B$4,0,(C35/100*(E35-MAX(D35,$B$4))/(E35-D35)))</f>
        <v>0</v>
      </c>
      <c r="H35" s="26" t="n">
        <f aca="false">IF(E35&lt;=$B$4,0,(C35/100*(E35-MAX(D35,$B$4))/(E35-D35))*(MAX(D35,$B$4)+E35)/2)</f>
        <v>0</v>
      </c>
      <c r="I35" s="26" t="n">
        <f aca="false">IF(E35&lt;=$B$4,0,(C35/100*(E35-MAX(D35,$B$4))/(E35-D35))*(MAX(D35,$B$4)+E35)/2-(C35/100*(E35-MAX(D35,$B$4))/(E35-D35))*$B$4)</f>
        <v>0</v>
      </c>
    </row>
    <row r="36" customFormat="false" ht="15" hidden="false" customHeight="false" outlineLevel="0" collapsed="false">
      <c r="A36" s="11" t="n">
        <v>500</v>
      </c>
      <c r="B36" s="11" t="n">
        <v>600</v>
      </c>
      <c r="C36" s="38" t="n">
        <v>2.06</v>
      </c>
      <c r="D36" s="39" t="n">
        <f aca="false">A36*Gel!$B$13</f>
        <v>595</v>
      </c>
      <c r="E36" s="39" t="n">
        <f aca="false">B36*Gel!$B$13</f>
        <v>714</v>
      </c>
      <c r="F36" s="26" t="n">
        <f aca="false">C36/100*(D36+E36)/2</f>
        <v>13.4827</v>
      </c>
      <c r="G36" s="43" t="n">
        <f aca="false">IF(E36&lt;=$B$4,0,(C36/100*(E36-MAX(D36,$B$4))/(E36-D36)))</f>
        <v>0</v>
      </c>
      <c r="H36" s="26" t="n">
        <f aca="false">IF(E36&lt;=$B$4,0,(C36/100*(E36-MAX(D36,$B$4))/(E36-D36))*(MAX(D36,$B$4)+E36)/2)</f>
        <v>0</v>
      </c>
      <c r="I36" s="26" t="n">
        <f aca="false">IF(E36&lt;=$B$4,0,(C36/100*(E36-MAX(D36,$B$4))/(E36-D36))*(MAX(D36,$B$4)+E36)/2-(C36/100*(E36-MAX(D36,$B$4))/(E36-D36))*$B$4)</f>
        <v>0</v>
      </c>
    </row>
    <row r="37" customFormat="false" ht="15" hidden="false" customHeight="false" outlineLevel="0" collapsed="false">
      <c r="A37" s="11" t="n">
        <v>600</v>
      </c>
      <c r="B37" s="11" t="n">
        <v>700</v>
      </c>
      <c r="C37" s="38" t="n">
        <v>2.28</v>
      </c>
      <c r="D37" s="39" t="n">
        <f aca="false">A37*Gel!$B$13</f>
        <v>714</v>
      </c>
      <c r="E37" s="39" t="n">
        <f aca="false">B37*Gel!$B$13</f>
        <v>833</v>
      </c>
      <c r="F37" s="26" t="n">
        <f aca="false">C37/100*(D37+E37)/2</f>
        <v>17.6358</v>
      </c>
      <c r="G37" s="43" t="n">
        <f aca="false">IF(E37&lt;=$B$4,0,(C37/100*(E37-MAX(D37,$B$4))/(E37-D37)))</f>
        <v>0</v>
      </c>
      <c r="H37" s="26" t="n">
        <f aca="false">IF(E37&lt;=$B$4,0,(C37/100*(E37-MAX(D37,$B$4))/(E37-D37))*(MAX(D37,$B$4)+E37)/2)</f>
        <v>0</v>
      </c>
      <c r="I37" s="26" t="n">
        <f aca="false">IF(E37&lt;=$B$4,0,(C37/100*(E37-MAX(D37,$B$4))/(E37-D37))*(MAX(D37,$B$4)+E37)/2-(C37/100*(E37-MAX(D37,$B$4))/(E37-D37))*$B$4)</f>
        <v>0</v>
      </c>
    </row>
    <row r="38" customFormat="false" ht="15" hidden="false" customHeight="false" outlineLevel="0" collapsed="false">
      <c r="A38" s="11" t="n">
        <v>700</v>
      </c>
      <c r="B38" s="11" t="n">
        <v>800</v>
      </c>
      <c r="C38" s="38" t="n">
        <v>2.94</v>
      </c>
      <c r="D38" s="39" t="n">
        <f aca="false">A38*Gel!$B$13</f>
        <v>833</v>
      </c>
      <c r="E38" s="39" t="n">
        <f aca="false">B38*Gel!$B$13</f>
        <v>952</v>
      </c>
      <c r="F38" s="26" t="n">
        <f aca="false">C38/100*(D38+E38)/2</f>
        <v>26.2395</v>
      </c>
      <c r="G38" s="43" t="n">
        <f aca="false">IF(E38&lt;=$B$4,0,(C38/100*(E38-MAX(D38,$B$4))/(E38-D38)))</f>
        <v>0</v>
      </c>
      <c r="H38" s="26" t="n">
        <f aca="false">IF(E38&lt;=$B$4,0,(C38/100*(E38-MAX(D38,$B$4))/(E38-D38))*(MAX(D38,$B$4)+E38)/2)</f>
        <v>0</v>
      </c>
      <c r="I38" s="26" t="n">
        <f aca="false">IF(E38&lt;=$B$4,0,(C38/100*(E38-MAX(D38,$B$4))/(E38-D38))*(MAX(D38,$B$4)+E38)/2-(C38/100*(E38-MAX(D38,$B$4))/(E38-D38))*$B$4)</f>
        <v>0</v>
      </c>
    </row>
    <row r="39" customFormat="false" ht="15" hidden="false" customHeight="false" outlineLevel="0" collapsed="false">
      <c r="A39" s="11" t="n">
        <v>800</v>
      </c>
      <c r="B39" s="11" t="n">
        <v>900</v>
      </c>
      <c r="C39" s="38" t="n">
        <v>4.36</v>
      </c>
      <c r="D39" s="39" t="n">
        <f aca="false">A39*Gel!$B$13</f>
        <v>952</v>
      </c>
      <c r="E39" s="39" t="n">
        <f aca="false">B39*Gel!$B$13</f>
        <v>1071</v>
      </c>
      <c r="F39" s="26" t="n">
        <f aca="false">C39/100*(D39+E39)/2</f>
        <v>44.1014</v>
      </c>
      <c r="G39" s="43" t="n">
        <f aca="false">IF(E39&lt;=$B$4,0,(C39/100*(E39-MAX(D39,$B$4))/(E39-D39)))</f>
        <v>0</v>
      </c>
      <c r="H39" s="26" t="n">
        <f aca="false">IF(E39&lt;=$B$4,0,(C39/100*(E39-MAX(D39,$B$4))/(E39-D39))*(MAX(D39,$B$4)+E39)/2)</f>
        <v>0</v>
      </c>
      <c r="I39" s="26" t="n">
        <f aca="false">IF(E39&lt;=$B$4,0,(C39/100*(E39-MAX(D39,$B$4))/(E39-D39))*(MAX(D39,$B$4)+E39)/2-(C39/100*(E39-MAX(D39,$B$4))/(E39-D39))*$B$4)</f>
        <v>0</v>
      </c>
    </row>
    <row r="40" customFormat="false" ht="15" hidden="false" customHeight="false" outlineLevel="0" collapsed="false">
      <c r="A40" s="11" t="n">
        <v>900</v>
      </c>
      <c r="B40" s="11" t="n">
        <v>1000</v>
      </c>
      <c r="C40" s="38" t="n">
        <v>4.44</v>
      </c>
      <c r="D40" s="39" t="n">
        <f aca="false">A40*Gel!$B$13</f>
        <v>1071</v>
      </c>
      <c r="E40" s="39" t="n">
        <f aca="false">B40*Gel!$B$13</f>
        <v>1190</v>
      </c>
      <c r="F40" s="26" t="n">
        <f aca="false">C40/100*(D40+E40)/2</f>
        <v>50.1942</v>
      </c>
      <c r="G40" s="43" t="n">
        <f aca="false">IF(E40&lt;=$B$4,0,(C40/100*(E40-MAX(D40,$B$4))/(E40-D40)))</f>
        <v>0</v>
      </c>
      <c r="H40" s="26" t="n">
        <f aca="false">IF(E40&lt;=$B$4,0,(C40/100*(E40-MAX(D40,$B$4))/(E40-D40))*(MAX(D40,$B$4)+E40)/2)</f>
        <v>0</v>
      </c>
      <c r="I40" s="26" t="n">
        <f aca="false">IF(E40&lt;=$B$4,0,(C40/100*(E40-MAX(D40,$B$4))/(E40-D40))*(MAX(D40,$B$4)+E40)/2-(C40/100*(E40-MAX(D40,$B$4))/(E40-D40))*$B$4)</f>
        <v>0</v>
      </c>
    </row>
    <row r="41" customFormat="false" ht="15" hidden="false" customHeight="false" outlineLevel="0" collapsed="false">
      <c r="A41" s="11" t="n">
        <v>1000</v>
      </c>
      <c r="B41" s="11" t="n">
        <v>1100</v>
      </c>
      <c r="C41" s="38" t="n">
        <v>4.2</v>
      </c>
      <c r="D41" s="39" t="n">
        <f aca="false">A41*Gel!$B$13</f>
        <v>1190</v>
      </c>
      <c r="E41" s="39" t="n">
        <f aca="false">B41*Gel!$B$13</f>
        <v>1309</v>
      </c>
      <c r="F41" s="26" t="n">
        <f aca="false">C41/100*(D41+E41)/2</f>
        <v>52.479</v>
      </c>
      <c r="G41" s="43" t="n">
        <f aca="false">IF(E41&lt;=$B$4,0,(C41/100*(E41-MAX(D41,$B$4))/(E41-D41)))</f>
        <v>0</v>
      </c>
      <c r="H41" s="26" t="n">
        <f aca="false">IF(E41&lt;=$B$4,0,(C41/100*(E41-MAX(D41,$B$4))/(E41-D41))*(MAX(D41,$B$4)+E41)/2)</f>
        <v>0</v>
      </c>
      <c r="I41" s="26" t="n">
        <f aca="false">IF(E41&lt;=$B$4,0,(C41/100*(E41-MAX(D41,$B$4))/(E41-D41))*(MAX(D41,$B$4)+E41)/2-(C41/100*(E41-MAX(D41,$B$4))/(E41-D41))*$B$4)</f>
        <v>0</v>
      </c>
    </row>
    <row r="42" customFormat="false" ht="15" hidden="false" customHeight="false" outlineLevel="0" collapsed="false">
      <c r="A42" s="11" t="n">
        <v>1100</v>
      </c>
      <c r="B42" s="11" t="n">
        <v>1200</v>
      </c>
      <c r="C42" s="38" t="n">
        <v>4.4</v>
      </c>
      <c r="D42" s="39" t="n">
        <f aca="false">A42*Gel!$B$13</f>
        <v>1309</v>
      </c>
      <c r="E42" s="39" t="n">
        <f aca="false">B42*Gel!$B$13</f>
        <v>1428</v>
      </c>
      <c r="F42" s="26" t="n">
        <f aca="false">C42/100*(D42+E42)/2</f>
        <v>60.214</v>
      </c>
      <c r="G42" s="43" t="n">
        <f aca="false">IF(E42&lt;=$B$4,0,(C42/100*(E42-MAX(D42,$B$4))/(E42-D42)))</f>
        <v>0</v>
      </c>
      <c r="H42" s="26" t="n">
        <f aca="false">IF(E42&lt;=$B$4,0,(C42/100*(E42-MAX(D42,$B$4))/(E42-D42))*(MAX(D42,$B$4)+E42)/2)</f>
        <v>0</v>
      </c>
      <c r="I42" s="26" t="n">
        <f aca="false">IF(E42&lt;=$B$4,0,(C42/100*(E42-MAX(D42,$B$4))/(E42-D42))*(MAX(D42,$B$4)+E42)/2-(C42/100*(E42-MAX(D42,$B$4))/(E42-D42))*$B$4)</f>
        <v>0</v>
      </c>
    </row>
    <row r="43" customFormat="false" ht="15" hidden="false" customHeight="false" outlineLevel="0" collapsed="false">
      <c r="A43" s="11" t="n">
        <v>1200</v>
      </c>
      <c r="B43" s="11" t="n">
        <v>1300</v>
      </c>
      <c r="C43" s="38" t="n">
        <v>4.59</v>
      </c>
      <c r="D43" s="39" t="n">
        <f aca="false">A43*Gel!$B$13</f>
        <v>1428</v>
      </c>
      <c r="E43" s="39" t="n">
        <f aca="false">B43*Gel!$B$13</f>
        <v>1547</v>
      </c>
      <c r="F43" s="26" t="n">
        <f aca="false">C43/100*(D43+E43)/2</f>
        <v>68.27625</v>
      </c>
      <c r="G43" s="43" t="n">
        <f aca="false">IF(E43&lt;=$B$4,0,(C43/100*(E43-MAX(D43,$B$4))/(E43-D43)))</f>
        <v>0</v>
      </c>
      <c r="H43" s="26" t="n">
        <f aca="false">IF(E43&lt;=$B$4,0,(C43/100*(E43-MAX(D43,$B$4))/(E43-D43))*(MAX(D43,$B$4)+E43)/2)</f>
        <v>0</v>
      </c>
      <c r="I43" s="26" t="n">
        <f aca="false">IF(E43&lt;=$B$4,0,(C43/100*(E43-MAX(D43,$B$4))/(E43-D43))*(MAX(D43,$B$4)+E43)/2-(C43/100*(E43-MAX(D43,$B$4))/(E43-D43))*$B$4)</f>
        <v>0</v>
      </c>
    </row>
    <row r="44" customFormat="false" ht="15" hidden="false" customHeight="false" outlineLevel="0" collapsed="false">
      <c r="A44" s="11" t="n">
        <v>1300</v>
      </c>
      <c r="B44" s="11" t="n">
        <v>1400</v>
      </c>
      <c r="C44" s="38" t="n">
        <v>4.82</v>
      </c>
      <c r="D44" s="39" t="n">
        <f aca="false">A44*Gel!$B$13</f>
        <v>1547</v>
      </c>
      <c r="E44" s="39" t="n">
        <f aca="false">B44*Gel!$B$13</f>
        <v>1666</v>
      </c>
      <c r="F44" s="26" t="n">
        <f aca="false">C44/100*(D44+E44)/2</f>
        <v>77.4333</v>
      </c>
      <c r="G44" s="43" t="n">
        <f aca="false">IF(E44&lt;=$B$4,0,(C44/100*(E44-MAX(D44,$B$4))/(E44-D44)))</f>
        <v>0</v>
      </c>
      <c r="H44" s="26" t="n">
        <f aca="false">IF(E44&lt;=$B$4,0,(C44/100*(E44-MAX(D44,$B$4))/(E44-D44))*(MAX(D44,$B$4)+E44)/2)</f>
        <v>0</v>
      </c>
      <c r="I44" s="26" t="n">
        <f aca="false">IF(E44&lt;=$B$4,0,(C44/100*(E44-MAX(D44,$B$4))/(E44-D44))*(MAX(D44,$B$4)+E44)/2-(C44/100*(E44-MAX(D44,$B$4))/(E44-D44))*$B$4)</f>
        <v>0</v>
      </c>
    </row>
    <row r="45" customFormat="false" ht="15" hidden="false" customHeight="false" outlineLevel="0" collapsed="false">
      <c r="A45" s="11" t="n">
        <v>1400</v>
      </c>
      <c r="B45" s="11" t="n">
        <v>1500</v>
      </c>
      <c r="C45" s="38" t="n">
        <v>4.9</v>
      </c>
      <c r="D45" s="39" t="n">
        <f aca="false">A45*Gel!$B$13</f>
        <v>1666</v>
      </c>
      <c r="E45" s="39" t="n">
        <f aca="false">B45*Gel!$B$13</f>
        <v>1785</v>
      </c>
      <c r="F45" s="26" t="n">
        <f aca="false">C45/100*(D45+E45)/2</f>
        <v>84.5495</v>
      </c>
      <c r="G45" s="43" t="n">
        <f aca="false">IF(E45&lt;=$B$4,0,(C45/100*(E45-MAX(D45,$B$4))/(E45-D45)))</f>
        <v>0</v>
      </c>
      <c r="H45" s="26" t="n">
        <f aca="false">IF(E45&lt;=$B$4,0,(C45/100*(E45-MAX(D45,$B$4))/(E45-D45))*(MAX(D45,$B$4)+E45)/2)</f>
        <v>0</v>
      </c>
      <c r="I45" s="26" t="n">
        <f aca="false">IF(E45&lt;=$B$4,0,(C45/100*(E45-MAX(D45,$B$4))/(E45-D45))*(MAX(D45,$B$4)+E45)/2-(C45/100*(E45-MAX(D45,$B$4))/(E45-D45))*$B$4)</f>
        <v>0</v>
      </c>
    </row>
    <row r="46" customFormat="false" ht="15" hidden="false" customHeight="false" outlineLevel="0" collapsed="false">
      <c r="A46" s="11" t="n">
        <v>1500</v>
      </c>
      <c r="B46" s="11" t="n">
        <v>1600</v>
      </c>
      <c r="C46" s="38" t="n">
        <v>4.75</v>
      </c>
      <c r="D46" s="39" t="n">
        <f aca="false">A46*Gel!$B$13</f>
        <v>1785</v>
      </c>
      <c r="E46" s="39" t="n">
        <f aca="false">B46*Gel!$B$13</f>
        <v>1904</v>
      </c>
      <c r="F46" s="26" t="n">
        <f aca="false">C46/100*(D46+E46)/2</f>
        <v>87.61375</v>
      </c>
      <c r="G46" s="43" t="n">
        <f aca="false">IF(E46&lt;=$B$4,0,(C46/100*(E46-MAX(D46,$B$4))/(E46-D46)))</f>
        <v>0</v>
      </c>
      <c r="H46" s="26" t="n">
        <f aca="false">IF(E46&lt;=$B$4,0,(C46/100*(E46-MAX(D46,$B$4))/(E46-D46))*(MAX(D46,$B$4)+E46)/2)</f>
        <v>0</v>
      </c>
      <c r="I46" s="26" t="n">
        <f aca="false">IF(E46&lt;=$B$4,0,(C46/100*(E46-MAX(D46,$B$4))/(E46-D46))*(MAX(D46,$B$4)+E46)/2-(C46/100*(E46-MAX(D46,$B$4))/(E46-D46))*$B$4)</f>
        <v>0</v>
      </c>
    </row>
    <row r="47" customFormat="false" ht="15" hidden="false" customHeight="false" outlineLevel="0" collapsed="false">
      <c r="A47" s="11" t="n">
        <v>1600</v>
      </c>
      <c r="B47" s="11" t="n">
        <v>1700</v>
      </c>
      <c r="C47" s="38" t="n">
        <v>4.47</v>
      </c>
      <c r="D47" s="39" t="n">
        <f aca="false">A47*Gel!$B$13</f>
        <v>1904</v>
      </c>
      <c r="E47" s="39" t="n">
        <f aca="false">B47*Gel!$B$13</f>
        <v>2023</v>
      </c>
      <c r="F47" s="26" t="n">
        <f aca="false">C47/100*(D47+E47)/2</f>
        <v>87.76845</v>
      </c>
      <c r="G47" s="43" t="n">
        <f aca="false">IF(E47&lt;=$B$4,0,(C47/100*(E47-MAX(D47,$B$4))/(E47-D47)))</f>
        <v>0</v>
      </c>
      <c r="H47" s="26" t="n">
        <f aca="false">IF(E47&lt;=$B$4,0,(C47/100*(E47-MAX(D47,$B$4))/(E47-D47))*(MAX(D47,$B$4)+E47)/2)</f>
        <v>0</v>
      </c>
      <c r="I47" s="26" t="n">
        <f aca="false">IF(E47&lt;=$B$4,0,(C47/100*(E47-MAX(D47,$B$4))/(E47-D47))*(MAX(D47,$B$4)+E47)/2-(C47/100*(E47-MAX(D47,$B$4))/(E47-D47))*$B$4)</f>
        <v>0</v>
      </c>
    </row>
    <row r="48" customFormat="false" ht="15" hidden="false" customHeight="false" outlineLevel="0" collapsed="false">
      <c r="A48" s="11" t="n">
        <v>1700</v>
      </c>
      <c r="B48" s="11" t="n">
        <v>1800</v>
      </c>
      <c r="C48" s="38" t="n">
        <v>4.23</v>
      </c>
      <c r="D48" s="39" t="n">
        <f aca="false">A48*Gel!$B$13</f>
        <v>2023</v>
      </c>
      <c r="E48" s="39" t="n">
        <f aca="false">B48*Gel!$B$13</f>
        <v>2142</v>
      </c>
      <c r="F48" s="26" t="n">
        <f aca="false">C48/100*(D48+E48)/2</f>
        <v>88.08975</v>
      </c>
      <c r="G48" s="43" t="n">
        <f aca="false">IF(E48&lt;=$B$4,0,(C48/100*(E48-MAX(D48,$B$4))/(E48-D48)))</f>
        <v>0</v>
      </c>
      <c r="H48" s="26" t="n">
        <f aca="false">IF(E48&lt;=$B$4,0,(C48/100*(E48-MAX(D48,$B$4))/(E48-D48))*(MAX(D48,$B$4)+E48)/2)</f>
        <v>0</v>
      </c>
      <c r="I48" s="26" t="n">
        <f aca="false">IF(E48&lt;=$B$4,0,(C48/100*(E48-MAX(D48,$B$4))/(E48-D48))*(MAX(D48,$B$4)+E48)/2-(C48/100*(E48-MAX(D48,$B$4))/(E48-D48))*$B$4)</f>
        <v>0</v>
      </c>
    </row>
    <row r="49" customFormat="false" ht="15" hidden="false" customHeight="false" outlineLevel="0" collapsed="false">
      <c r="A49" s="11" t="n">
        <v>1800</v>
      </c>
      <c r="B49" s="11" t="n">
        <v>1900</v>
      </c>
      <c r="C49" s="38" t="n">
        <v>4</v>
      </c>
      <c r="D49" s="39" t="n">
        <f aca="false">A49*Gel!$B$13</f>
        <v>2142</v>
      </c>
      <c r="E49" s="39" t="n">
        <f aca="false">B49*Gel!$B$13</f>
        <v>2261</v>
      </c>
      <c r="F49" s="26" t="n">
        <f aca="false">C49/100*(D49+E49)/2</f>
        <v>88.06</v>
      </c>
      <c r="G49" s="43" t="n">
        <f aca="false">IF(E49&lt;=$B$4,0,(C49/100*(E49-MAX(D49,$B$4))/(E49-D49)))</f>
        <v>0</v>
      </c>
      <c r="H49" s="26" t="n">
        <f aca="false">IF(E49&lt;=$B$4,0,(C49/100*(E49-MAX(D49,$B$4))/(E49-D49))*(MAX(D49,$B$4)+E49)/2)</f>
        <v>0</v>
      </c>
      <c r="I49" s="26" t="n">
        <f aca="false">IF(E49&lt;=$B$4,0,(C49/100*(E49-MAX(D49,$B$4))/(E49-D49))*(MAX(D49,$B$4)+E49)/2-(C49/100*(E49-MAX(D49,$B$4))/(E49-D49))*$B$4)</f>
        <v>0</v>
      </c>
    </row>
    <row r="50" customFormat="false" ht="15" hidden="false" customHeight="false" outlineLevel="0" collapsed="false">
      <c r="A50" s="11" t="n">
        <v>1900</v>
      </c>
      <c r="B50" s="11" t="n">
        <v>2000</v>
      </c>
      <c r="C50" s="38" t="n">
        <v>3.76</v>
      </c>
      <c r="D50" s="39" t="n">
        <f aca="false">A50*Gel!$B$13</f>
        <v>2261</v>
      </c>
      <c r="E50" s="39" t="n">
        <f aca="false">B50*Gel!$B$13</f>
        <v>2380</v>
      </c>
      <c r="F50" s="26" t="n">
        <f aca="false">C50/100*(D50+E50)/2</f>
        <v>87.2508</v>
      </c>
      <c r="G50" s="43" t="n">
        <f aca="false">IF(E50&lt;=$B$4,0,(C50/100*(E50-MAX(D50,$B$4))/(E50-D50)))</f>
        <v>0</v>
      </c>
      <c r="H50" s="26" t="n">
        <f aca="false">IF(E50&lt;=$B$4,0,(C50/100*(E50-MAX(D50,$B$4))/(E50-D50))*(MAX(D50,$B$4)+E50)/2)</f>
        <v>0</v>
      </c>
      <c r="I50" s="26" t="n">
        <f aca="false">IF(E50&lt;=$B$4,0,(C50/100*(E50-MAX(D50,$B$4))/(E50-D50))*(MAX(D50,$B$4)+E50)/2-(C50/100*(E50-MAX(D50,$B$4))/(E50-D50))*$B$4)</f>
        <v>0</v>
      </c>
    </row>
    <row r="51" customFormat="false" ht="15" hidden="false" customHeight="false" outlineLevel="0" collapsed="false">
      <c r="A51" s="11" t="n">
        <v>2000</v>
      </c>
      <c r="B51" s="11" t="n">
        <v>2100</v>
      </c>
      <c r="C51" s="38" t="n">
        <v>3.63</v>
      </c>
      <c r="D51" s="39" t="n">
        <f aca="false">A51*Gel!$B$13</f>
        <v>2380</v>
      </c>
      <c r="E51" s="39" t="n">
        <f aca="false">B51*Gel!$B$13</f>
        <v>2499</v>
      </c>
      <c r="F51" s="26" t="n">
        <f aca="false">C51/100*(D51+E51)/2</f>
        <v>88.55385</v>
      </c>
      <c r="G51" s="43" t="n">
        <f aca="false">IF(E51&lt;=$B$4,0,(C51/100*(E51-MAX(D51,$B$4))/(E51-D51)))</f>
        <v>0</v>
      </c>
      <c r="H51" s="26" t="n">
        <f aca="false">IF(E51&lt;=$B$4,0,(C51/100*(E51-MAX(D51,$B$4))/(E51-D51))*(MAX(D51,$B$4)+E51)/2)</f>
        <v>0</v>
      </c>
      <c r="I51" s="26" t="n">
        <f aca="false">IF(E51&lt;=$B$4,0,(C51/100*(E51-MAX(D51,$B$4))/(E51-D51))*(MAX(D51,$B$4)+E51)/2-(C51/100*(E51-MAX(D51,$B$4))/(E51-D51))*$B$4)</f>
        <v>0</v>
      </c>
    </row>
    <row r="52" customFormat="false" ht="15" hidden="false" customHeight="false" outlineLevel="0" collapsed="false">
      <c r="A52" s="11" t="n">
        <v>2100</v>
      </c>
      <c r="B52" s="11" t="n">
        <v>2200</v>
      </c>
      <c r="C52" s="38" t="n">
        <v>2.99</v>
      </c>
      <c r="D52" s="39" t="n">
        <f aca="false">A52*Gel!$B$13</f>
        <v>2499</v>
      </c>
      <c r="E52" s="39" t="n">
        <f aca="false">B52*Gel!$B$13</f>
        <v>2618</v>
      </c>
      <c r="F52" s="26" t="n">
        <f aca="false">C52/100*(D52+E52)/2</f>
        <v>76.49915</v>
      </c>
      <c r="G52" s="43" t="n">
        <f aca="false">IF(E52&lt;=$B$4,0,(C52/100*(E52-MAX(D52,$B$4))/(E52-D52)))</f>
        <v>0</v>
      </c>
      <c r="H52" s="26" t="n">
        <f aca="false">IF(E52&lt;=$B$4,0,(C52/100*(E52-MAX(D52,$B$4))/(E52-D52))*(MAX(D52,$B$4)+E52)/2)</f>
        <v>0</v>
      </c>
      <c r="I52" s="26" t="n">
        <f aca="false">IF(E52&lt;=$B$4,0,(C52/100*(E52-MAX(D52,$B$4))/(E52-D52))*(MAX(D52,$B$4)+E52)/2-(C52/100*(E52-MAX(D52,$B$4))/(E52-D52))*$B$4)</f>
        <v>0</v>
      </c>
    </row>
    <row r="53" customFormat="false" ht="15" hidden="false" customHeight="false" outlineLevel="0" collapsed="false">
      <c r="A53" s="11" t="n">
        <v>2200</v>
      </c>
      <c r="B53" s="11" t="n">
        <v>2300</v>
      </c>
      <c r="C53" s="38" t="n">
        <v>2.6</v>
      </c>
      <c r="D53" s="39" t="n">
        <f aca="false">A53*Gel!$B$13</f>
        <v>2618</v>
      </c>
      <c r="E53" s="39" t="n">
        <f aca="false">B53*Gel!$B$13</f>
        <v>2737</v>
      </c>
      <c r="F53" s="26" t="n">
        <f aca="false">C53/100*(D53+E53)/2</f>
        <v>69.615</v>
      </c>
      <c r="G53" s="43" t="n">
        <f aca="false">IF(E53&lt;=$B$4,0,(C53/100*(E53-MAX(D53,$B$4))/(E53-D53)))</f>
        <v>0</v>
      </c>
      <c r="H53" s="26" t="n">
        <f aca="false">IF(E53&lt;=$B$4,0,(C53/100*(E53-MAX(D53,$B$4))/(E53-D53))*(MAX(D53,$B$4)+E53)/2)</f>
        <v>0</v>
      </c>
      <c r="I53" s="26" t="n">
        <f aca="false">IF(E53&lt;=$B$4,0,(C53/100*(E53-MAX(D53,$B$4))/(E53-D53))*(MAX(D53,$B$4)+E53)/2-(C53/100*(E53-MAX(D53,$B$4))/(E53-D53))*$B$4)</f>
        <v>0</v>
      </c>
    </row>
    <row r="54" customFormat="false" ht="15" hidden="false" customHeight="false" outlineLevel="0" collapsed="false">
      <c r="A54" s="11" t="n">
        <v>2300</v>
      </c>
      <c r="B54" s="11" t="n">
        <v>2400</v>
      </c>
      <c r="C54" s="38" t="n">
        <v>2.3</v>
      </c>
      <c r="D54" s="39" t="n">
        <f aca="false">A54*Gel!$B$13</f>
        <v>2737</v>
      </c>
      <c r="E54" s="39" t="n">
        <f aca="false">B54*Gel!$B$13</f>
        <v>2856</v>
      </c>
      <c r="F54" s="26" t="n">
        <f aca="false">C54/100*(D54+E54)/2</f>
        <v>64.3195</v>
      </c>
      <c r="G54" s="43" t="n">
        <f aca="false">IF(E54&lt;=$B$4,0,(C54/100*(E54-MAX(D54,$B$4))/(E54-D54)))</f>
        <v>0</v>
      </c>
      <c r="H54" s="26" t="n">
        <f aca="false">IF(E54&lt;=$B$4,0,(C54/100*(E54-MAX(D54,$B$4))/(E54-D54))*(MAX(D54,$B$4)+E54)/2)</f>
        <v>0</v>
      </c>
      <c r="I54" s="26" t="n">
        <f aca="false">IF(E54&lt;=$B$4,0,(C54/100*(E54-MAX(D54,$B$4))/(E54-D54))*(MAX(D54,$B$4)+E54)/2-(C54/100*(E54-MAX(D54,$B$4))/(E54-D54))*$B$4)</f>
        <v>0</v>
      </c>
    </row>
    <row r="55" customFormat="false" ht="15" hidden="false" customHeight="false" outlineLevel="0" collapsed="false">
      <c r="A55" s="11" t="n">
        <v>2400</v>
      </c>
      <c r="B55" s="11" t="n">
        <v>2500</v>
      </c>
      <c r="C55" s="38" t="n">
        <v>1.99</v>
      </c>
      <c r="D55" s="39" t="n">
        <f aca="false">A55*Gel!$B$13</f>
        <v>2856</v>
      </c>
      <c r="E55" s="39" t="n">
        <f aca="false">B55*Gel!$B$13</f>
        <v>2975</v>
      </c>
      <c r="F55" s="26" t="n">
        <f aca="false">C55/100*(D55+E55)/2</f>
        <v>58.01845</v>
      </c>
      <c r="G55" s="43" t="n">
        <f aca="false">IF(E55&lt;=$B$4,0,(C55/100*(E55-MAX(D55,$B$4))/(E55-D55)))</f>
        <v>0</v>
      </c>
      <c r="H55" s="26" t="n">
        <f aca="false">IF(E55&lt;=$B$4,0,(C55/100*(E55-MAX(D55,$B$4))/(E55-D55))*(MAX(D55,$B$4)+E55)/2)</f>
        <v>0</v>
      </c>
      <c r="I55" s="26" t="n">
        <f aca="false">IF(E55&lt;=$B$4,0,(C55/100*(E55-MAX(D55,$B$4))/(E55-D55))*(MAX(D55,$B$4)+E55)/2-(C55/100*(E55-MAX(D55,$B$4))/(E55-D55))*$B$4)</f>
        <v>0</v>
      </c>
    </row>
    <row r="56" customFormat="false" ht="15" hidden="false" customHeight="false" outlineLevel="0" collapsed="false">
      <c r="A56" s="11" t="n">
        <v>2500</v>
      </c>
      <c r="B56" s="11" t="n">
        <v>2600</v>
      </c>
      <c r="C56" s="38" t="n">
        <v>1.73</v>
      </c>
      <c r="D56" s="39" t="n">
        <f aca="false">A56*Gel!$B$13</f>
        <v>2975</v>
      </c>
      <c r="E56" s="39" t="n">
        <f aca="false">B56*Gel!$B$13</f>
        <v>3094</v>
      </c>
      <c r="F56" s="26" t="n">
        <f aca="false">C56/100*(D56+E56)/2</f>
        <v>52.49685</v>
      </c>
      <c r="G56" s="43" t="n">
        <f aca="false">IF(E56&lt;=$B$4,0,(C56/100*(E56-MAX(D56,$B$4))/(E56-D56)))</f>
        <v>0</v>
      </c>
      <c r="H56" s="26" t="n">
        <f aca="false">IF(E56&lt;=$B$4,0,(C56/100*(E56-MAX(D56,$B$4))/(E56-D56))*(MAX(D56,$B$4)+E56)/2)</f>
        <v>0</v>
      </c>
      <c r="I56" s="26" t="n">
        <f aca="false">IF(E56&lt;=$B$4,0,(C56/100*(E56-MAX(D56,$B$4))/(E56-D56))*(MAX(D56,$B$4)+E56)/2-(C56/100*(E56-MAX(D56,$B$4))/(E56-D56))*$B$4)</f>
        <v>0</v>
      </c>
    </row>
    <row r="57" customFormat="false" ht="15" hidden="false" customHeight="false" outlineLevel="0" collapsed="false">
      <c r="A57" s="11" t="n">
        <v>2600</v>
      </c>
      <c r="B57" s="11" t="n">
        <v>2700</v>
      </c>
      <c r="C57" s="38" t="n">
        <v>1.53</v>
      </c>
      <c r="D57" s="39" t="n">
        <f aca="false">A57*Gel!$B$13</f>
        <v>3094</v>
      </c>
      <c r="E57" s="39" t="n">
        <f aca="false">B57*Gel!$B$13</f>
        <v>3213</v>
      </c>
      <c r="F57" s="26" t="n">
        <f aca="false">C57/100*(D57+E57)/2</f>
        <v>48.24855</v>
      </c>
      <c r="G57" s="43" t="n">
        <f aca="false">IF(E57&lt;=$B$4,0,(C57/100*(E57-MAX(D57,$B$4))/(E57-D57)))</f>
        <v>0</v>
      </c>
      <c r="H57" s="26" t="n">
        <f aca="false">IF(E57&lt;=$B$4,0,(C57/100*(E57-MAX(D57,$B$4))/(E57-D57))*(MAX(D57,$B$4)+E57)/2)</f>
        <v>0</v>
      </c>
      <c r="I57" s="26" t="n">
        <f aca="false">IF(E57&lt;=$B$4,0,(C57/100*(E57-MAX(D57,$B$4))/(E57-D57))*(MAX(D57,$B$4)+E57)/2-(C57/100*(E57-MAX(D57,$B$4))/(E57-D57))*$B$4)</f>
        <v>0</v>
      </c>
    </row>
    <row r="58" customFormat="false" ht="15" hidden="false" customHeight="false" outlineLevel="0" collapsed="false">
      <c r="A58" s="11" t="n">
        <v>2700</v>
      </c>
      <c r="B58" s="11" t="n">
        <v>2800</v>
      </c>
      <c r="C58" s="38" t="n">
        <v>1.33</v>
      </c>
      <c r="D58" s="39" t="n">
        <f aca="false">A58*Gel!$B$13</f>
        <v>3213</v>
      </c>
      <c r="E58" s="39" t="n">
        <f aca="false">B58*Gel!$B$13</f>
        <v>3332</v>
      </c>
      <c r="F58" s="26" t="n">
        <f aca="false">C58/100*(D58+E58)/2</f>
        <v>43.52425</v>
      </c>
      <c r="G58" s="43" t="n">
        <f aca="false">IF(E58&lt;=$B$4,0,(C58/100*(E58-MAX(D58,$B$4))/(E58-D58)))</f>
        <v>0</v>
      </c>
      <c r="H58" s="26" t="n">
        <f aca="false">IF(E58&lt;=$B$4,0,(C58/100*(E58-MAX(D58,$B$4))/(E58-D58))*(MAX(D58,$B$4)+E58)/2)</f>
        <v>0</v>
      </c>
      <c r="I58" s="26" t="n">
        <f aca="false">IF(E58&lt;=$B$4,0,(C58/100*(E58-MAX(D58,$B$4))/(E58-D58))*(MAX(D58,$B$4)+E58)/2-(C58/100*(E58-MAX(D58,$B$4))/(E58-D58))*$B$4)</f>
        <v>0</v>
      </c>
    </row>
    <row r="59" customFormat="false" ht="15" hidden="false" customHeight="false" outlineLevel="0" collapsed="false">
      <c r="A59" s="11" t="n">
        <v>2800</v>
      </c>
      <c r="B59" s="11" t="n">
        <v>2900</v>
      </c>
      <c r="C59" s="38" t="n">
        <v>1.17</v>
      </c>
      <c r="D59" s="39" t="n">
        <f aca="false">A59*Gel!$B$13</f>
        <v>3332</v>
      </c>
      <c r="E59" s="39" t="n">
        <f aca="false">B59*Gel!$B$13</f>
        <v>3451</v>
      </c>
      <c r="F59" s="26" t="n">
        <f aca="false">C59/100*(D59+E59)/2</f>
        <v>39.68055</v>
      </c>
      <c r="G59" s="43" t="n">
        <f aca="false">IF(E59&lt;=$B$4,0,(C59/100*(E59-MAX(D59,$B$4))/(E59-D59)))</f>
        <v>0</v>
      </c>
      <c r="H59" s="26" t="n">
        <f aca="false">IF(E59&lt;=$B$4,0,(C59/100*(E59-MAX(D59,$B$4))/(E59-D59))*(MAX(D59,$B$4)+E59)/2)</f>
        <v>0</v>
      </c>
      <c r="I59" s="26" t="n">
        <f aca="false">IF(E59&lt;=$B$4,0,(C59/100*(E59-MAX(D59,$B$4))/(E59-D59))*(MAX(D59,$B$4)+E59)/2-(C59/100*(E59-MAX(D59,$B$4))/(E59-D59))*$B$4)</f>
        <v>0</v>
      </c>
    </row>
    <row r="60" customFormat="false" ht="15" hidden="false" customHeight="false" outlineLevel="0" collapsed="false">
      <c r="A60" s="11" t="n">
        <v>2900</v>
      </c>
      <c r="B60" s="11" t="n">
        <v>3000</v>
      </c>
      <c r="C60" s="38" t="n">
        <v>1.01</v>
      </c>
      <c r="D60" s="39" t="n">
        <f aca="false">A60*Gel!$B$13</f>
        <v>3451</v>
      </c>
      <c r="E60" s="39" t="n">
        <f aca="false">B60*Gel!$B$13</f>
        <v>3570</v>
      </c>
      <c r="F60" s="26" t="n">
        <f aca="false">C60/100*(D60+E60)/2</f>
        <v>35.45605</v>
      </c>
      <c r="G60" s="43" t="n">
        <f aca="false">IF(E60&lt;=$B$4,0,(C60/100*(E60-MAX(D60,$B$4))/(E60-D60)))</f>
        <v>0</v>
      </c>
      <c r="H60" s="26" t="n">
        <f aca="false">IF(E60&lt;=$B$4,0,(C60/100*(E60-MAX(D60,$B$4))/(E60-D60))*(MAX(D60,$B$4)+E60)/2)</f>
        <v>0</v>
      </c>
      <c r="I60" s="26" t="n">
        <f aca="false">IF(E60&lt;=$B$4,0,(C60/100*(E60-MAX(D60,$B$4))/(E60-D60))*(MAX(D60,$B$4)+E60)/2-(C60/100*(E60-MAX(D60,$B$4))/(E60-D60))*$B$4)</f>
        <v>0</v>
      </c>
    </row>
    <row r="61" customFormat="false" ht="15" hidden="false" customHeight="false" outlineLevel="0" collapsed="false">
      <c r="A61" s="11" t="n">
        <v>3000</v>
      </c>
      <c r="B61" s="11" t="n">
        <v>3100</v>
      </c>
      <c r="C61" s="38" t="n">
        <v>0.9</v>
      </c>
      <c r="D61" s="39" t="n">
        <f aca="false">A61*Gel!$B$13</f>
        <v>3570</v>
      </c>
      <c r="E61" s="39" t="n">
        <f aca="false">B61*Gel!$B$13</f>
        <v>3689</v>
      </c>
      <c r="F61" s="26" t="n">
        <f aca="false">C61/100*(D61+E61)/2</f>
        <v>32.6655</v>
      </c>
      <c r="G61" s="43" t="n">
        <f aca="false">IF(E61&lt;=$B$4,0,(C61/100*(E61-MAX(D61,$B$4))/(E61-D61)))</f>
        <v>0</v>
      </c>
      <c r="H61" s="26" t="n">
        <f aca="false">IF(E61&lt;=$B$4,0,(C61/100*(E61-MAX(D61,$B$4))/(E61-D61))*(MAX(D61,$B$4)+E61)/2)</f>
        <v>0</v>
      </c>
      <c r="I61" s="26" t="n">
        <f aca="false">IF(E61&lt;=$B$4,0,(C61/100*(E61-MAX(D61,$B$4))/(E61-D61))*(MAX(D61,$B$4)+E61)/2-(C61/100*(E61-MAX(D61,$B$4))/(E61-D61))*$B$4)</f>
        <v>0</v>
      </c>
    </row>
    <row r="62" customFormat="false" ht="15" hidden="false" customHeight="false" outlineLevel="0" collapsed="false">
      <c r="A62" s="11" t="n">
        <v>3100</v>
      </c>
      <c r="B62" s="11" t="n">
        <v>3200</v>
      </c>
      <c r="C62" s="38" t="n">
        <v>0.76</v>
      </c>
      <c r="D62" s="39" t="n">
        <f aca="false">A62*Gel!$B$13</f>
        <v>3689</v>
      </c>
      <c r="E62" s="39" t="n">
        <f aca="false">B62*Gel!$B$13</f>
        <v>3808</v>
      </c>
      <c r="F62" s="26" t="n">
        <f aca="false">C62/100*(D62+E62)/2</f>
        <v>28.4886</v>
      </c>
      <c r="G62" s="43" t="n">
        <f aca="false">IF(E62&lt;=$B$4,0,(C62/100*(E62-MAX(D62,$B$4))/(E62-D62)))</f>
        <v>0</v>
      </c>
      <c r="H62" s="26" t="n">
        <f aca="false">IF(E62&lt;=$B$4,0,(C62/100*(E62-MAX(D62,$B$4))/(E62-D62))*(MAX(D62,$B$4)+E62)/2)</f>
        <v>0</v>
      </c>
      <c r="I62" s="26" t="n">
        <f aca="false">IF(E62&lt;=$B$4,0,(C62/100*(E62-MAX(D62,$B$4))/(E62-D62))*(MAX(D62,$B$4)+E62)/2-(C62/100*(E62-MAX(D62,$B$4))/(E62-D62))*$B$4)</f>
        <v>0</v>
      </c>
    </row>
    <row r="63" customFormat="false" ht="15" hidden="false" customHeight="false" outlineLevel="0" collapsed="false">
      <c r="A63" s="11" t="n">
        <v>3200</v>
      </c>
      <c r="B63" s="11" t="n">
        <v>3300</v>
      </c>
      <c r="C63" s="38" t="n">
        <v>0.67</v>
      </c>
      <c r="D63" s="39" t="n">
        <f aca="false">A63*Gel!$B$13</f>
        <v>3808</v>
      </c>
      <c r="E63" s="39" t="n">
        <f aca="false">B63*Gel!$B$13</f>
        <v>3927</v>
      </c>
      <c r="F63" s="26" t="n">
        <f aca="false">C63/100*(D63+E63)/2</f>
        <v>25.91225</v>
      </c>
      <c r="G63" s="43" t="n">
        <f aca="false">IF(E63&lt;=$B$4,0,(C63/100*(E63-MAX(D63,$B$4))/(E63-D63)))</f>
        <v>0</v>
      </c>
      <c r="H63" s="26" t="n">
        <f aca="false">IF(E63&lt;=$B$4,0,(C63/100*(E63-MAX(D63,$B$4))/(E63-D63))*(MAX(D63,$B$4)+E63)/2)</f>
        <v>0</v>
      </c>
      <c r="I63" s="26" t="n">
        <f aca="false">IF(E63&lt;=$B$4,0,(C63/100*(E63-MAX(D63,$B$4))/(E63-D63))*(MAX(D63,$B$4)+E63)/2-(C63/100*(E63-MAX(D63,$B$4))/(E63-D63))*$B$4)</f>
        <v>0</v>
      </c>
    </row>
    <row r="64" customFormat="false" ht="15" hidden="false" customHeight="false" outlineLevel="0" collapsed="false">
      <c r="A64" s="11" t="n">
        <v>3300</v>
      </c>
      <c r="B64" s="11" t="n">
        <v>3400</v>
      </c>
      <c r="C64" s="38" t="n">
        <v>0.57</v>
      </c>
      <c r="D64" s="39" t="n">
        <f aca="false">A64*Gel!$B$13</f>
        <v>3927</v>
      </c>
      <c r="E64" s="39" t="n">
        <f aca="false">B64*Gel!$B$13</f>
        <v>4046</v>
      </c>
      <c r="F64" s="26" t="n">
        <f aca="false">C64/100*(D64+E64)/2</f>
        <v>22.72305</v>
      </c>
      <c r="G64" s="43" t="n">
        <f aca="false">IF(E64&lt;=$B$4,0,(C64/100*(E64-MAX(D64,$B$4))/(E64-D64)))</f>
        <v>0.00220336134453782</v>
      </c>
      <c r="H64" s="26" t="n">
        <f aca="false">IF(E64&lt;=$B$4,0,(C64/100*(E64-MAX(D64,$B$4))/(E64-D64))*(MAX(D64,$B$4)+E64)/2)</f>
        <v>8.86412268907563</v>
      </c>
      <c r="I64" s="26" t="n">
        <f aca="false">IF(E64&lt;=$B$4,0,(C64/100*(E64-MAX(D64,$B$4))/(E64-D64))*(MAX(D64,$B$4)+E64)/2-(C64/100*(E64-MAX(D64,$B$4))/(E64-D64))*$B$4)</f>
        <v>0.050677310924371</v>
      </c>
    </row>
    <row r="65" customFormat="false" ht="15" hidden="false" customHeight="false" outlineLevel="0" collapsed="false">
      <c r="A65" s="11" t="n">
        <v>3400</v>
      </c>
      <c r="B65" s="11" t="n">
        <v>3500</v>
      </c>
      <c r="C65" s="38" t="n">
        <v>0.51</v>
      </c>
      <c r="D65" s="39" t="n">
        <f aca="false">A65*Gel!$B$13</f>
        <v>4046</v>
      </c>
      <c r="E65" s="39" t="n">
        <f aca="false">B65*Gel!$B$13</f>
        <v>4165</v>
      </c>
      <c r="F65" s="26" t="n">
        <f aca="false">C65/100*(D65+E65)/2</f>
        <v>20.93805</v>
      </c>
      <c r="G65" s="43" t="n">
        <f aca="false">IF(E65&lt;=$B$4,0,(C65/100*(E65-MAX(D65,$B$4))/(E65-D65)))</f>
        <v>0.0051</v>
      </c>
      <c r="H65" s="26" t="n">
        <f aca="false">IF(E65&lt;=$B$4,0,(C65/100*(E65-MAX(D65,$B$4))/(E65-D65))*(MAX(D65,$B$4)+E65)/2)</f>
        <v>20.93805</v>
      </c>
      <c r="I65" s="26" t="n">
        <f aca="false">IF(E65&lt;=$B$4,0,(C65/100*(E65-MAX(D65,$B$4))/(E65-D65))*(MAX(D65,$B$4)+E65)/2-(C65/100*(E65-MAX(D65,$B$4))/(E65-D65))*$B$4)</f>
        <v>0.538049999999998</v>
      </c>
    </row>
    <row r="66" customFormat="false" ht="15" hidden="false" customHeight="false" outlineLevel="0" collapsed="false">
      <c r="A66" s="11" t="n">
        <v>3500</v>
      </c>
      <c r="B66" s="11" t="n">
        <v>3600</v>
      </c>
      <c r="C66" s="38" t="n">
        <v>0.46</v>
      </c>
      <c r="D66" s="39" t="n">
        <f aca="false">A66*Gel!$B$13</f>
        <v>4165</v>
      </c>
      <c r="E66" s="39" t="n">
        <f aca="false">B66*Gel!$B$13</f>
        <v>4284</v>
      </c>
      <c r="F66" s="26" t="n">
        <f aca="false">C66/100*(D66+E66)/2</f>
        <v>19.4327</v>
      </c>
      <c r="G66" s="43" t="n">
        <f aca="false">IF(E66&lt;=$B$4,0,(C66/100*(E66-MAX(D66,$B$4))/(E66-D66)))</f>
        <v>0.0046</v>
      </c>
      <c r="H66" s="26" t="n">
        <f aca="false">IF(E66&lt;=$B$4,0,(C66/100*(E66-MAX(D66,$B$4))/(E66-D66))*(MAX(D66,$B$4)+E66)/2)</f>
        <v>19.4327</v>
      </c>
      <c r="I66" s="26" t="n">
        <f aca="false">IF(E66&lt;=$B$4,0,(C66/100*(E66-MAX(D66,$B$4))/(E66-D66))*(MAX(D66,$B$4)+E66)/2-(C66/100*(E66-MAX(D66,$B$4))/(E66-D66))*$B$4)</f>
        <v>1.0327</v>
      </c>
    </row>
    <row r="67" customFormat="false" ht="15" hidden="false" customHeight="false" outlineLevel="0" collapsed="false">
      <c r="A67" s="11" t="n">
        <v>3600</v>
      </c>
      <c r="B67" s="11" t="n">
        <v>3700</v>
      </c>
      <c r="C67" s="38" t="n">
        <v>0.4</v>
      </c>
      <c r="D67" s="39" t="n">
        <f aca="false">A67*Gel!$B$13</f>
        <v>4284</v>
      </c>
      <c r="E67" s="39" t="n">
        <f aca="false">B67*Gel!$B$13</f>
        <v>4403</v>
      </c>
      <c r="F67" s="26" t="n">
        <f aca="false">C67/100*(D67+E67)/2</f>
        <v>17.374</v>
      </c>
      <c r="G67" s="43" t="n">
        <f aca="false">IF(E67&lt;=$B$4,0,(C67/100*(E67-MAX(D67,$B$4))/(E67-D67)))</f>
        <v>0.004</v>
      </c>
      <c r="H67" s="26" t="n">
        <f aca="false">IF(E67&lt;=$B$4,0,(C67/100*(E67-MAX(D67,$B$4))/(E67-D67))*(MAX(D67,$B$4)+E67)/2)</f>
        <v>17.374</v>
      </c>
      <c r="I67" s="26" t="n">
        <f aca="false">IF(E67&lt;=$B$4,0,(C67/100*(E67-MAX(D67,$B$4))/(E67-D67))*(MAX(D67,$B$4)+E67)/2-(C67/100*(E67-MAX(D67,$B$4))/(E67-D67))*$B$4)</f>
        <v>1.374</v>
      </c>
    </row>
    <row r="68" customFormat="false" ht="15" hidden="false" customHeight="false" outlineLevel="0" collapsed="false">
      <c r="A68" s="11" t="n">
        <v>3700</v>
      </c>
      <c r="B68" s="11" t="n">
        <v>3800</v>
      </c>
      <c r="C68" s="38" t="n">
        <v>0.38</v>
      </c>
      <c r="D68" s="39" t="n">
        <f aca="false">A68*Gel!$B$13</f>
        <v>4403</v>
      </c>
      <c r="E68" s="39" t="n">
        <f aca="false">B68*Gel!$B$13</f>
        <v>4522</v>
      </c>
      <c r="F68" s="26" t="n">
        <f aca="false">C68/100*(D68+E68)/2</f>
        <v>16.9575</v>
      </c>
      <c r="G68" s="43" t="n">
        <f aca="false">IF(E68&lt;=$B$4,0,(C68/100*(E68-MAX(D68,$B$4))/(E68-D68)))</f>
        <v>0.0038</v>
      </c>
      <c r="H68" s="26" t="n">
        <f aca="false">IF(E68&lt;=$B$4,0,(C68/100*(E68-MAX(D68,$B$4))/(E68-D68))*(MAX(D68,$B$4)+E68)/2)</f>
        <v>16.9575</v>
      </c>
      <c r="I68" s="26" t="n">
        <f aca="false">IF(E68&lt;=$B$4,0,(C68/100*(E68-MAX(D68,$B$4))/(E68-D68))*(MAX(D68,$B$4)+E68)/2-(C68/100*(E68-MAX(D68,$B$4))/(E68-D68))*$B$4)</f>
        <v>1.7575</v>
      </c>
    </row>
    <row r="69" customFormat="false" ht="15" hidden="false" customHeight="false" outlineLevel="0" collapsed="false">
      <c r="A69" s="11" t="n">
        <v>3800</v>
      </c>
      <c r="B69" s="11" t="n">
        <v>3900</v>
      </c>
      <c r="C69" s="38" t="n">
        <v>0.31</v>
      </c>
      <c r="D69" s="39" t="n">
        <f aca="false">A69*Gel!$B$13</f>
        <v>4522</v>
      </c>
      <c r="E69" s="39" t="n">
        <f aca="false">B69*Gel!$B$13</f>
        <v>4641</v>
      </c>
      <c r="F69" s="26" t="n">
        <f aca="false">C69/100*(D69+E69)/2</f>
        <v>14.20265</v>
      </c>
      <c r="G69" s="43" t="n">
        <f aca="false">IF(E69&lt;=$B$4,0,(C69/100*(E69-MAX(D69,$B$4))/(E69-D69)))</f>
        <v>0.0031</v>
      </c>
      <c r="H69" s="26" t="n">
        <f aca="false">IF(E69&lt;=$B$4,0,(C69/100*(E69-MAX(D69,$B$4))/(E69-D69))*(MAX(D69,$B$4)+E69)/2)</f>
        <v>14.20265</v>
      </c>
      <c r="I69" s="26" t="n">
        <f aca="false">IF(E69&lt;=$B$4,0,(C69/100*(E69-MAX(D69,$B$4))/(E69-D69))*(MAX(D69,$B$4)+E69)/2-(C69/100*(E69-MAX(D69,$B$4))/(E69-D69))*$B$4)</f>
        <v>1.80265</v>
      </c>
    </row>
    <row r="70" customFormat="false" ht="15" hidden="false" customHeight="false" outlineLevel="0" collapsed="false">
      <c r="A70" s="11" t="n">
        <v>3900</v>
      </c>
      <c r="B70" s="11" t="n">
        <v>4000</v>
      </c>
      <c r="C70" s="38" t="n">
        <v>0.29</v>
      </c>
      <c r="D70" s="39" t="n">
        <f aca="false">A70*Gel!$B$13</f>
        <v>4641</v>
      </c>
      <c r="E70" s="39" t="n">
        <f aca="false">B70*Gel!$B$13</f>
        <v>4760</v>
      </c>
      <c r="F70" s="26" t="n">
        <f aca="false">C70/100*(D70+E70)/2</f>
        <v>13.63145</v>
      </c>
      <c r="G70" s="43" t="n">
        <f aca="false">IF(E70&lt;=$B$4,0,(C70/100*(E70-MAX(D70,$B$4))/(E70-D70)))</f>
        <v>0.0029</v>
      </c>
      <c r="H70" s="26" t="n">
        <f aca="false">IF(E70&lt;=$B$4,0,(C70/100*(E70-MAX(D70,$B$4))/(E70-D70))*(MAX(D70,$B$4)+E70)/2)</f>
        <v>13.63145</v>
      </c>
      <c r="I70" s="26" t="n">
        <f aca="false">IF(E70&lt;=$B$4,0,(C70/100*(E70-MAX(D70,$B$4))/(E70-D70))*(MAX(D70,$B$4)+E70)/2-(C70/100*(E70-MAX(D70,$B$4))/(E70-D70))*$B$4)</f>
        <v>2.03145</v>
      </c>
    </row>
    <row r="71" customFormat="false" ht="15" hidden="false" customHeight="false" outlineLevel="0" collapsed="false">
      <c r="A71" s="11" t="n">
        <v>4000</v>
      </c>
      <c r="B71" s="11" t="n">
        <v>4100</v>
      </c>
      <c r="C71" s="38" t="n">
        <v>0.26</v>
      </c>
      <c r="D71" s="39" t="n">
        <f aca="false">A71*Gel!$B$13</f>
        <v>4760</v>
      </c>
      <c r="E71" s="39" t="n">
        <f aca="false">B71*Gel!$B$13</f>
        <v>4879</v>
      </c>
      <c r="F71" s="26" t="n">
        <f aca="false">C71/100*(D71+E71)/2</f>
        <v>12.5307</v>
      </c>
      <c r="G71" s="43" t="n">
        <f aca="false">IF(E71&lt;=$B$4,0,(C71/100*(E71-MAX(D71,$B$4))/(E71-D71)))</f>
        <v>0.0026</v>
      </c>
      <c r="H71" s="26" t="n">
        <f aca="false">IF(E71&lt;=$B$4,0,(C71/100*(E71-MAX(D71,$B$4))/(E71-D71))*(MAX(D71,$B$4)+E71)/2)</f>
        <v>12.5307</v>
      </c>
      <c r="I71" s="26" t="n">
        <f aca="false">IF(E71&lt;=$B$4,0,(C71/100*(E71-MAX(D71,$B$4))/(E71-D71))*(MAX(D71,$B$4)+E71)/2-(C71/100*(E71-MAX(D71,$B$4))/(E71-D71))*$B$4)</f>
        <v>2.1307</v>
      </c>
    </row>
    <row r="72" customFormat="false" ht="15" hidden="false" customHeight="false" outlineLevel="0" collapsed="false">
      <c r="A72" s="11" t="n">
        <v>4100</v>
      </c>
      <c r="B72" s="11" t="n">
        <v>4200</v>
      </c>
      <c r="C72" s="38" t="n">
        <v>0.22</v>
      </c>
      <c r="D72" s="39" t="n">
        <f aca="false">A72*Gel!$B$13</f>
        <v>4879</v>
      </c>
      <c r="E72" s="39" t="n">
        <f aca="false">B72*Gel!$B$13</f>
        <v>4998</v>
      </c>
      <c r="F72" s="26" t="n">
        <f aca="false">C72/100*(D72+E72)/2</f>
        <v>10.8647</v>
      </c>
      <c r="G72" s="43" t="n">
        <f aca="false">IF(E72&lt;=$B$4,0,(C72/100*(E72-MAX(D72,$B$4))/(E72-D72)))</f>
        <v>0.0022</v>
      </c>
      <c r="H72" s="26" t="n">
        <f aca="false">IF(E72&lt;=$B$4,0,(C72/100*(E72-MAX(D72,$B$4))/(E72-D72))*(MAX(D72,$B$4)+E72)/2)</f>
        <v>10.8647</v>
      </c>
      <c r="I72" s="26" t="n">
        <f aca="false">IF(E72&lt;=$B$4,0,(C72/100*(E72-MAX(D72,$B$4))/(E72-D72))*(MAX(D72,$B$4)+E72)/2-(C72/100*(E72-MAX(D72,$B$4))/(E72-D72))*$B$4)</f>
        <v>2.0647</v>
      </c>
    </row>
    <row r="73" customFormat="false" ht="15" hidden="false" customHeight="false" outlineLevel="0" collapsed="false">
      <c r="A73" s="11" t="n">
        <v>4200</v>
      </c>
      <c r="B73" s="11" t="n">
        <v>4300</v>
      </c>
      <c r="C73" s="38" t="n">
        <v>0.2</v>
      </c>
      <c r="D73" s="39" t="n">
        <f aca="false">A73*Gel!$B$13</f>
        <v>4998</v>
      </c>
      <c r="E73" s="39" t="n">
        <f aca="false">B73*Gel!$B$13</f>
        <v>5117</v>
      </c>
      <c r="F73" s="26" t="n">
        <f aca="false">C73/100*(D73+E73)/2</f>
        <v>10.115</v>
      </c>
      <c r="G73" s="43" t="n">
        <f aca="false">IF(E73&lt;=$B$4,0,(C73/100*(E73-MAX(D73,$B$4))/(E73-D73)))</f>
        <v>0.002</v>
      </c>
      <c r="H73" s="26" t="n">
        <f aca="false">IF(E73&lt;=$B$4,0,(C73/100*(E73-MAX(D73,$B$4))/(E73-D73))*(MAX(D73,$B$4)+E73)/2)</f>
        <v>10.115</v>
      </c>
      <c r="I73" s="26" t="n">
        <f aca="false">IF(E73&lt;=$B$4,0,(C73/100*(E73-MAX(D73,$B$4))/(E73-D73))*(MAX(D73,$B$4)+E73)/2-(C73/100*(E73-MAX(D73,$B$4))/(E73-D73))*$B$4)</f>
        <v>2.115</v>
      </c>
    </row>
    <row r="74" customFormat="false" ht="15" hidden="false" customHeight="false" outlineLevel="0" collapsed="false">
      <c r="A74" s="11" t="n">
        <v>4300</v>
      </c>
      <c r="B74" s="11" t="n">
        <v>4400</v>
      </c>
      <c r="C74" s="38" t="n">
        <v>0.19</v>
      </c>
      <c r="D74" s="39" t="n">
        <f aca="false">A74*Gel!$B$13</f>
        <v>5117</v>
      </c>
      <c r="E74" s="39" t="n">
        <f aca="false">B74*Gel!$B$13</f>
        <v>5236</v>
      </c>
      <c r="F74" s="26" t="n">
        <f aca="false">C74/100*(D74+E74)/2</f>
        <v>9.83535</v>
      </c>
      <c r="G74" s="43" t="n">
        <f aca="false">IF(E74&lt;=$B$4,0,(C74/100*(E74-MAX(D74,$B$4))/(E74-D74)))</f>
        <v>0.0019</v>
      </c>
      <c r="H74" s="26" t="n">
        <f aca="false">IF(E74&lt;=$B$4,0,(C74/100*(E74-MAX(D74,$B$4))/(E74-D74))*(MAX(D74,$B$4)+E74)/2)</f>
        <v>9.83535</v>
      </c>
      <c r="I74" s="26" t="n">
        <f aca="false">IF(E74&lt;=$B$4,0,(C74/100*(E74-MAX(D74,$B$4))/(E74-D74))*(MAX(D74,$B$4)+E74)/2-(C74/100*(E74-MAX(D74,$B$4))/(E74-D74))*$B$4)</f>
        <v>2.23535</v>
      </c>
    </row>
    <row r="75" customFormat="false" ht="15" hidden="false" customHeight="false" outlineLevel="0" collapsed="false">
      <c r="A75" s="11" t="n">
        <v>4400</v>
      </c>
      <c r="B75" s="11" t="n">
        <v>4500</v>
      </c>
      <c r="C75" s="38" t="n">
        <v>0.18</v>
      </c>
      <c r="D75" s="39" t="n">
        <f aca="false">A75*Gel!$B$13</f>
        <v>5236</v>
      </c>
      <c r="E75" s="39" t="n">
        <f aca="false">B75*Gel!$B$13</f>
        <v>5355</v>
      </c>
      <c r="F75" s="26" t="n">
        <f aca="false">C75/100*(D75+E75)/2</f>
        <v>9.5319</v>
      </c>
      <c r="G75" s="43" t="n">
        <f aca="false">IF(E75&lt;=$B$4,0,(C75/100*(E75-MAX(D75,$B$4))/(E75-D75)))</f>
        <v>0.0018</v>
      </c>
      <c r="H75" s="26" t="n">
        <f aca="false">IF(E75&lt;=$B$4,0,(C75/100*(E75-MAX(D75,$B$4))/(E75-D75))*(MAX(D75,$B$4)+E75)/2)</f>
        <v>9.5319</v>
      </c>
      <c r="I75" s="26" t="n">
        <f aca="false">IF(E75&lt;=$B$4,0,(C75/100*(E75-MAX(D75,$B$4))/(E75-D75))*(MAX(D75,$B$4)+E75)/2-(C75/100*(E75-MAX(D75,$B$4))/(E75-D75))*$B$4)</f>
        <v>2.3319</v>
      </c>
    </row>
    <row r="76" customFormat="false" ht="15" hidden="false" customHeight="false" outlineLevel="0" collapsed="false">
      <c r="A76" s="11" t="n">
        <v>4500</v>
      </c>
      <c r="B76" s="7" t="s">
        <v>180</v>
      </c>
      <c r="C76" s="38" t="n">
        <v>1.82</v>
      </c>
      <c r="D76" s="39" t="n">
        <f aca="false">A76*Gel!$B$13</f>
        <v>5355</v>
      </c>
      <c r="E76" s="39" t="n">
        <f aca="false">Gel!$B$14*Gel!$B$13</f>
        <v>7140</v>
      </c>
      <c r="F76" s="26" t="n">
        <f aca="false">C76/100*E76</f>
        <v>129.948</v>
      </c>
      <c r="G76" s="43" t="n">
        <f aca="false">IF(E76&gt;$B$4,C76/100,0)</f>
        <v>0.0182</v>
      </c>
      <c r="H76" s="26" t="n">
        <f aca="false">IF(E76&gt;$B$4,C76/100*E76,0)</f>
        <v>129.948</v>
      </c>
      <c r="I76" s="26" t="n">
        <f aca="false">IF(E76&gt;$B$4,C76/100*(E76-$B$4),0)</f>
        <v>57.148</v>
      </c>
    </row>
    <row r="77" customFormat="false" ht="15" hidden="false" customHeight="false" outlineLevel="0" collapsed="false">
      <c r="A77" s="3" t="s">
        <v>181</v>
      </c>
      <c r="F77" s="44" t="n">
        <f aca="false">SUM(F31:F76)</f>
        <v>1937.52825</v>
      </c>
      <c r="G77" s="45" t="n">
        <f aca="false">SUM(G31:G76)</f>
        <v>0.0544033613445378</v>
      </c>
      <c r="H77" s="44" t="n">
        <f aca="false">SUM(H31:H76)</f>
        <v>294.226122689076</v>
      </c>
      <c r="I77" s="44" t="n">
        <f aca="false">SUM(I31:I76)</f>
        <v>76.6126773109244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4" customFormat="false" ht="15" hidden="false" customHeight="false" outlineLevel="0" collapsed="false">
      <c r="A4" s="10" t="s">
        <v>192</v>
      </c>
      <c r="B4" s="10" t="s">
        <v>193</v>
      </c>
      <c r="C4" s="10" t="s">
        <v>194</v>
      </c>
      <c r="D4" s="10" t="s">
        <v>195</v>
      </c>
      <c r="E4" s="10" t="s">
        <v>196</v>
      </c>
      <c r="F4" s="10" t="s">
        <v>197</v>
      </c>
    </row>
    <row r="5" customFormat="false" ht="15" hidden="false" customHeight="false" outlineLevel="0" collapsed="false">
      <c r="A5" s="7" t="s">
        <v>198</v>
      </c>
      <c r="B5" s="5" t="s">
        <v>199</v>
      </c>
      <c r="C5" s="47" t="n">
        <f aca="false">'TVA sociale'!B17</f>
        <v>0.00674535636580573</v>
      </c>
      <c r="D5" s="47" t="n">
        <f aca="false">'TVA sociale'!B18</f>
        <v>-0.0064963503649635</v>
      </c>
      <c r="E5" s="43" t="n">
        <f aca="false">IF(B5="Oui",1+C5,1)</f>
        <v>1.00674535636581</v>
      </c>
      <c r="F5" s="43" t="n">
        <f aca="false">IF(B5="Oui",1+D5,1)</f>
        <v>0.993503649635037</v>
      </c>
    </row>
    <row r="6" customFormat="false" ht="15" hidden="false" customHeight="false" outlineLevel="0" collapsed="false">
      <c r="A6" s="7" t="s">
        <v>200</v>
      </c>
      <c r="B6" s="5" t="s">
        <v>199</v>
      </c>
      <c r="C6" s="47" t="n">
        <f aca="false">'CSG retraités'!B19</f>
        <v>0.00178763040865384</v>
      </c>
      <c r="D6" s="47" t="n">
        <f aca="false">'CSG retraités'!B20</f>
        <v>-0.003938625</v>
      </c>
      <c r="E6" s="43" t="n">
        <f aca="false">IF(B6="Oui",1+C6,1)</f>
        <v>1.00178763040865</v>
      </c>
      <c r="F6" s="43" t="n">
        <f aca="false">IF(B6="Oui",1+D6,1)</f>
        <v>0.996061375</v>
      </c>
    </row>
    <row r="7" customFormat="false" ht="15" hidden="false" customHeight="false" outlineLevel="0" collapsed="false">
      <c r="A7" s="7" t="s">
        <v>201</v>
      </c>
      <c r="B7" s="5" t="s">
        <v>199</v>
      </c>
      <c r="C7" s="47" t="n">
        <f aca="false">'Sans impôts'!B30</f>
        <v>-0.0408521564137261</v>
      </c>
      <c r="D7" s="47" t="n">
        <f aca="false">'Sans impôts'!B31</f>
        <v>-0.0773945997157745</v>
      </c>
      <c r="E7" s="43" t="n">
        <f aca="false">IF(B7="Oui",1+C7,1)</f>
        <v>0.959147843586274</v>
      </c>
      <c r="F7" s="43" t="n">
        <f aca="false">IF(B7="Oui",1+D7,1)</f>
        <v>0.922605400284225</v>
      </c>
    </row>
    <row r="8" customFormat="false" ht="15" hidden="false" customHeight="false" outlineLevel="0" collapsed="false">
      <c r="A8" s="7" t="s">
        <v>202</v>
      </c>
      <c r="B8" s="5" t="s">
        <v>199</v>
      </c>
      <c r="C8" s="47" t="n">
        <f aca="false">Gel!B38</f>
        <v>0.00138395027145062</v>
      </c>
      <c r="D8" s="47" t="n">
        <f aca="false">Gel!B39</f>
        <v>-0.00304921034655978</v>
      </c>
      <c r="E8" s="43" t="n">
        <f aca="false">IF(B8="Oui",1+C8,1)</f>
        <v>1.00138395027145</v>
      </c>
      <c r="F8" s="43" t="n">
        <f aca="false">IF(B8="Oui",1+D8,1)</f>
        <v>0.99695078965344</v>
      </c>
    </row>
    <row r="9" customFormat="false" ht="15" hidden="false" customHeight="false" outlineLevel="0" collapsed="false">
      <c r="A9" s="7" t="s">
        <v>203</v>
      </c>
      <c r="B9" s="5" t="s">
        <v>199</v>
      </c>
      <c r="C9" s="47" t="n">
        <f aca="false">Plafond!B17</f>
        <v>0</v>
      </c>
      <c r="D9" s="47" t="n">
        <f aca="false">Plafond!B18</f>
        <v>-0.0309348200699597</v>
      </c>
      <c r="E9" s="43" t="n">
        <f aca="false">IF(B9="Oui",1+C9,1)</f>
        <v>1</v>
      </c>
      <c r="F9" s="43" t="n">
        <f aca="false">IF(B9="Oui",1+D9,1)</f>
        <v>0.96906517993004</v>
      </c>
    </row>
    <row r="11" customFormat="false" ht="15" hidden="false" customHeight="false" outlineLevel="0" collapsed="false">
      <c r="A11" s="4" t="s">
        <v>204</v>
      </c>
      <c r="B11" s="37" t="n">
        <f aca="false">PRODUCT(E5:E9)-1</f>
        <v>-0.0313174392275523</v>
      </c>
    </row>
    <row r="12" customFormat="false" ht="15" hidden="false" customHeight="false" outlineLevel="0" collapsed="false">
      <c r="A12" s="4" t="s">
        <v>205</v>
      </c>
      <c r="B12" s="37" t="n">
        <f aca="false">PRODUCT(F5:F9)-1</f>
        <v>-0.117939712998491</v>
      </c>
    </row>
    <row r="14" customFormat="false" ht="15" hidden="false" customHeight="false" outlineLevel="0" collapsed="false">
      <c r="A14" s="3" t="s">
        <v>206</v>
      </c>
    </row>
    <row r="15" customFormat="false" ht="15" hidden="false" customHeight="false" outlineLevel="0" collapsed="false">
      <c r="A15" s="10"/>
      <c r="B15" s="10" t="s">
        <v>207</v>
      </c>
      <c r="C15" s="10" t="s">
        <v>208</v>
      </c>
      <c r="D15" s="10" t="s">
        <v>209</v>
      </c>
      <c r="E15" s="10" t="s">
        <v>210</v>
      </c>
    </row>
    <row r="16" customFormat="false" ht="15" hidden="false" customHeight="false" outlineLevel="0" collapsed="false">
      <c r="A16" s="7" t="s">
        <v>23</v>
      </c>
      <c r="B16" s="16" t="n">
        <v>29860</v>
      </c>
      <c r="C16" s="42" t="n">
        <f aca="false">B16*(1+B11)</f>
        <v>28924.8612646653</v>
      </c>
      <c r="D16" s="42" t="n">
        <f aca="false">B16/12</f>
        <v>2488.33333333333</v>
      </c>
      <c r="E16" s="42" t="n">
        <f aca="false">C16/12</f>
        <v>2410.40510538877</v>
      </c>
    </row>
    <row r="17" customFormat="false" ht="15" hidden="false" customHeight="false" outlineLevel="0" collapsed="false">
      <c r="A17" s="7" t="s">
        <v>211</v>
      </c>
      <c r="B17" s="16" t="n">
        <v>26830</v>
      </c>
      <c r="C17" s="42" t="n">
        <f aca="false">B17*(1+B12)</f>
        <v>23665.6775002505</v>
      </c>
      <c r="D17" s="42" t="n">
        <f aca="false">B17/12</f>
        <v>2235.83333333333</v>
      </c>
      <c r="E17" s="42" t="n">
        <f aca="false">C17/12</f>
        <v>1972.13979168754</v>
      </c>
    </row>
    <row r="18" customFormat="false" ht="15" hidden="false" customHeight="false" outlineLevel="0" collapsed="false">
      <c r="A18" s="3" t="s">
        <v>212</v>
      </c>
      <c r="B18" s="48" t="n">
        <f aca="false">B17/B16</f>
        <v>0.898526456798393</v>
      </c>
      <c r="C18" s="48" t="n">
        <f aca="false">C17/C16</f>
        <v>0.818177735882887</v>
      </c>
    </row>
    <row r="20" customFormat="false" ht="15" hidden="false" customHeight="false" outlineLevel="0" collapsed="false">
      <c r="A20" s="3" t="s">
        <v>213</v>
      </c>
    </row>
    <row r="21" customFormat="false" ht="23.85" hidden="false" customHeight="false" outlineLevel="0" collapsed="false">
      <c r="A21" s="10" t="s">
        <v>214</v>
      </c>
      <c r="B21" s="10" t="s">
        <v>215</v>
      </c>
      <c r="C21" s="10" t="s">
        <v>211</v>
      </c>
      <c r="D21" s="10" t="s">
        <v>216</v>
      </c>
      <c r="E21" s="10" t="s">
        <v>212</v>
      </c>
    </row>
    <row r="22" customFormat="false" ht="15" hidden="false" customHeight="false" outlineLevel="0" collapsed="false">
      <c r="A22" s="34" t="n">
        <v>1996</v>
      </c>
      <c r="B22" s="11" t="n">
        <v>20670</v>
      </c>
      <c r="C22" s="11" t="n">
        <v>21280</v>
      </c>
      <c r="D22" s="11" t="n">
        <v>23080</v>
      </c>
      <c r="E22" s="28" t="n">
        <f aca="false">C22/D22</f>
        <v>0.922010398613518</v>
      </c>
    </row>
    <row r="23" customFormat="false" ht="15" hidden="false" customHeight="false" outlineLevel="0" collapsed="false">
      <c r="A23" s="34" t="n">
        <v>1997</v>
      </c>
      <c r="B23" s="11" t="n">
        <v>20700</v>
      </c>
      <c r="C23" s="11" t="n">
        <v>21010</v>
      </c>
      <c r="D23" s="11" t="n">
        <v>23300</v>
      </c>
      <c r="E23" s="28" t="n">
        <f aca="false">C23/D23</f>
        <v>0.901716738197425</v>
      </c>
    </row>
    <row r="24" customFormat="false" ht="15" hidden="false" customHeight="false" outlineLevel="0" collapsed="false">
      <c r="A24" s="34" t="n">
        <v>1998</v>
      </c>
      <c r="B24" s="11" t="n">
        <v>21130</v>
      </c>
      <c r="C24" s="11" t="n">
        <v>21350</v>
      </c>
      <c r="D24" s="11" t="n">
        <v>23800</v>
      </c>
      <c r="E24" s="28" t="n">
        <f aca="false">C24/D24</f>
        <v>0.897058823529412</v>
      </c>
    </row>
    <row r="25" customFormat="false" ht="15" hidden="false" customHeight="false" outlineLevel="0" collapsed="false">
      <c r="A25" s="34" t="n">
        <v>1999</v>
      </c>
      <c r="B25" s="11" t="n">
        <v>21440</v>
      </c>
      <c r="C25" s="11" t="n">
        <v>21850</v>
      </c>
      <c r="D25" s="11" t="n">
        <v>23930</v>
      </c>
      <c r="E25" s="28" t="n">
        <f aca="false">C25/D25</f>
        <v>0.91307981613038</v>
      </c>
    </row>
    <row r="26" customFormat="false" ht="15" hidden="false" customHeight="false" outlineLevel="0" collapsed="false">
      <c r="A26" s="34" t="n">
        <v>2000</v>
      </c>
      <c r="B26" s="11" t="n">
        <v>21830</v>
      </c>
      <c r="C26" s="11" t="n">
        <v>22030</v>
      </c>
      <c r="D26" s="11" t="n">
        <v>24290</v>
      </c>
      <c r="E26" s="28" t="n">
        <f aca="false">C26/D26</f>
        <v>0.906957595718403</v>
      </c>
    </row>
    <row r="27" customFormat="false" ht="15" hidden="false" customHeight="false" outlineLevel="0" collapsed="false">
      <c r="A27" s="34" t="n">
        <v>2001</v>
      </c>
      <c r="B27" s="11" t="n">
        <v>22370</v>
      </c>
      <c r="C27" s="11" t="n">
        <v>22420</v>
      </c>
      <c r="D27" s="11" t="n">
        <v>24920</v>
      </c>
      <c r="E27" s="28" t="n">
        <f aca="false">C27/D27</f>
        <v>0.899678972712681</v>
      </c>
    </row>
    <row r="28" customFormat="false" ht="15" hidden="false" customHeight="false" outlineLevel="0" collapsed="false">
      <c r="A28" s="34" t="n">
        <v>2002</v>
      </c>
      <c r="B28" s="11" t="n">
        <v>22960</v>
      </c>
      <c r="C28" s="11" t="n">
        <v>22690</v>
      </c>
      <c r="D28" s="11" t="n">
        <v>25620</v>
      </c>
      <c r="E28" s="28" t="n">
        <f aca="false">C28/D28</f>
        <v>0.885636221701796</v>
      </c>
    </row>
    <row r="29" customFormat="false" ht="15" hidden="false" customHeight="false" outlineLevel="0" collapsed="false">
      <c r="A29" s="34" t="n">
        <v>2003</v>
      </c>
      <c r="B29" s="11" t="n">
        <v>22900</v>
      </c>
      <c r="C29" s="11" t="n">
        <v>22610</v>
      </c>
      <c r="D29" s="11" t="n">
        <v>25500</v>
      </c>
      <c r="E29" s="28" t="n">
        <f aca="false">C29/D29</f>
        <v>0.886666666666667</v>
      </c>
    </row>
    <row r="30" customFormat="false" ht="15" hidden="false" customHeight="false" outlineLevel="0" collapsed="false">
      <c r="A30" s="34" t="n">
        <v>2004</v>
      </c>
      <c r="B30" s="11" t="n">
        <v>22780</v>
      </c>
      <c r="C30" s="11" t="n">
        <v>22580</v>
      </c>
      <c r="D30" s="11" t="n">
        <v>25430</v>
      </c>
      <c r="E30" s="28" t="n">
        <f aca="false">C30/D30</f>
        <v>0.887927644514353</v>
      </c>
    </row>
    <row r="31" customFormat="false" ht="15" hidden="false" customHeight="false" outlineLevel="0" collapsed="false">
      <c r="A31" s="34" t="n">
        <v>2005</v>
      </c>
      <c r="B31" s="11" t="n">
        <v>23190</v>
      </c>
      <c r="C31" s="11" t="n">
        <v>22830</v>
      </c>
      <c r="D31" s="11" t="n">
        <v>25810</v>
      </c>
      <c r="E31" s="28" t="n">
        <f aca="false">C31/D31</f>
        <v>0.884540875629601</v>
      </c>
    </row>
    <row r="32" customFormat="false" ht="15" hidden="false" customHeight="false" outlineLevel="0" collapsed="false">
      <c r="A32" s="34" t="n">
        <v>2006</v>
      </c>
      <c r="B32" s="11" t="n">
        <v>23520</v>
      </c>
      <c r="C32" s="11" t="n">
        <v>23670</v>
      </c>
      <c r="D32" s="11" t="n">
        <v>25980</v>
      </c>
      <c r="E32" s="28" t="n">
        <f aca="false">C32/D32</f>
        <v>0.91108545034642</v>
      </c>
    </row>
    <row r="33" customFormat="false" ht="15" hidden="false" customHeight="false" outlineLevel="0" collapsed="false">
      <c r="A33" s="34" t="n">
        <v>2007</v>
      </c>
      <c r="B33" s="11" t="n">
        <v>24010</v>
      </c>
      <c r="C33" s="11" t="n">
        <v>23970</v>
      </c>
      <c r="D33" s="11" t="n">
        <v>26680</v>
      </c>
      <c r="E33" s="28" t="n">
        <f aca="false">C33/D33</f>
        <v>0.898425787106447</v>
      </c>
    </row>
    <row r="34" customFormat="false" ht="15" hidden="false" customHeight="false" outlineLevel="0" collapsed="false">
      <c r="A34" s="34" t="n">
        <v>2008</v>
      </c>
      <c r="B34" s="11" t="n">
        <v>24420</v>
      </c>
      <c r="C34" s="11" t="n">
        <v>24140</v>
      </c>
      <c r="D34" s="11" t="n">
        <v>26940</v>
      </c>
      <c r="E34" s="28" t="n">
        <f aca="false">C34/D34</f>
        <v>0.896065330363771</v>
      </c>
    </row>
    <row r="35" customFormat="false" ht="15" hidden="false" customHeight="false" outlineLevel="0" collapsed="false">
      <c r="A35" s="34" t="n">
        <v>2009</v>
      </c>
      <c r="B35" s="11" t="n">
        <v>24490</v>
      </c>
      <c r="C35" s="11" t="n">
        <v>24430</v>
      </c>
      <c r="D35" s="11" t="n">
        <v>27260</v>
      </c>
      <c r="E35" s="28" t="n">
        <f aca="false">C35/D35</f>
        <v>0.896184886280264</v>
      </c>
    </row>
    <row r="36" customFormat="false" ht="15" hidden="false" customHeight="false" outlineLevel="0" collapsed="false">
      <c r="A36" s="34" t="n">
        <v>2010</v>
      </c>
      <c r="B36" s="11" t="n">
        <v>24220</v>
      </c>
      <c r="C36" s="11" t="n">
        <v>24020</v>
      </c>
      <c r="D36" s="11" t="n">
        <v>27070</v>
      </c>
      <c r="E36" s="28" t="n">
        <f aca="false">C36/D36</f>
        <v>0.887329146656816</v>
      </c>
    </row>
    <row r="37" customFormat="false" ht="15" hidden="false" customHeight="false" outlineLevel="0" collapsed="false">
      <c r="A37" s="34" t="n">
        <v>2011</v>
      </c>
      <c r="B37" s="11" t="n">
        <v>24220</v>
      </c>
      <c r="C37" s="11" t="n">
        <v>24160</v>
      </c>
      <c r="D37" s="11" t="n">
        <v>27040</v>
      </c>
      <c r="E37" s="28" t="n">
        <f aca="false">C37/D37</f>
        <v>0.893491124260355</v>
      </c>
    </row>
    <row r="38" customFormat="false" ht="15" hidden="false" customHeight="false" outlineLevel="0" collapsed="false">
      <c r="A38" s="34" t="n">
        <v>2012</v>
      </c>
      <c r="B38" s="11" t="n">
        <v>24200</v>
      </c>
      <c r="C38" s="11" t="n">
        <v>24990</v>
      </c>
      <c r="D38" s="11" t="n">
        <v>26950</v>
      </c>
      <c r="E38" s="28" t="n">
        <f aca="false">C38/D38</f>
        <v>0.927272727272727</v>
      </c>
    </row>
    <row r="39" customFormat="false" ht="15" hidden="false" customHeight="false" outlineLevel="0" collapsed="false">
      <c r="A39" s="34" t="n">
        <v>2013</v>
      </c>
      <c r="B39" s="11" t="n">
        <v>24180</v>
      </c>
      <c r="C39" s="11" t="n">
        <v>25060</v>
      </c>
      <c r="D39" s="11" t="n">
        <v>26760</v>
      </c>
      <c r="E39" s="28" t="n">
        <f aca="false">C39/D39</f>
        <v>0.936472346786248</v>
      </c>
    </row>
    <row r="40" customFormat="false" ht="15" hidden="false" customHeight="false" outlineLevel="0" collapsed="false">
      <c r="A40" s="34" t="n">
        <v>2014</v>
      </c>
      <c r="B40" s="11" t="n">
        <v>24230</v>
      </c>
      <c r="C40" s="11" t="n">
        <v>25040</v>
      </c>
      <c r="D40" s="11" t="n">
        <v>26750</v>
      </c>
      <c r="E40" s="28" t="n">
        <f aca="false">C40/D40</f>
        <v>0.93607476635514</v>
      </c>
    </row>
    <row r="41" customFormat="false" ht="15" hidden="false" customHeight="false" outlineLevel="0" collapsed="false">
      <c r="A41" s="34" t="n">
        <v>2015</v>
      </c>
      <c r="B41" s="11" t="n">
        <v>24320</v>
      </c>
      <c r="C41" s="11" t="n">
        <v>25260</v>
      </c>
      <c r="D41" s="11" t="n">
        <v>26960</v>
      </c>
      <c r="E41" s="28" t="n">
        <f aca="false">C41/D41</f>
        <v>0.936943620178042</v>
      </c>
    </row>
    <row r="42" customFormat="false" ht="15" hidden="false" customHeight="false" outlineLevel="0" collapsed="false">
      <c r="A42" s="34" t="n">
        <v>2016</v>
      </c>
      <c r="B42" s="11" t="n">
        <v>24550</v>
      </c>
      <c r="C42" s="11" t="n">
        <v>25720</v>
      </c>
      <c r="D42" s="11" t="n">
        <v>27180</v>
      </c>
      <c r="E42" s="28" t="n">
        <f aca="false">C42/D42</f>
        <v>0.946284032376748</v>
      </c>
    </row>
    <row r="43" customFormat="false" ht="15" hidden="false" customHeight="false" outlineLevel="0" collapsed="false">
      <c r="A43" s="34" t="n">
        <v>2017</v>
      </c>
      <c r="B43" s="11" t="n">
        <v>24650</v>
      </c>
      <c r="C43" s="11" t="n">
        <v>25880</v>
      </c>
      <c r="D43" s="11" t="n">
        <v>27140</v>
      </c>
      <c r="E43" s="28" t="n">
        <f aca="false">C43/D43</f>
        <v>0.953574060427413</v>
      </c>
    </row>
    <row r="44" customFormat="false" ht="15" hidden="false" customHeight="false" outlineLevel="0" collapsed="false">
      <c r="A44" s="34" t="n">
        <v>2018</v>
      </c>
      <c r="B44" s="11" t="n">
        <v>24690</v>
      </c>
      <c r="C44" s="11" t="n">
        <v>25350</v>
      </c>
      <c r="D44" s="11" t="n">
        <v>27470</v>
      </c>
      <c r="E44" s="28" t="n">
        <f aca="false">C44/D44</f>
        <v>0.92282489989079</v>
      </c>
    </row>
    <row r="45" customFormat="false" ht="15" hidden="false" customHeight="false" outlineLevel="0" collapsed="false">
      <c r="A45" s="34" t="n">
        <v>2019</v>
      </c>
      <c r="B45" s="11" t="n">
        <v>25340</v>
      </c>
      <c r="C45" s="11" t="n">
        <v>25740</v>
      </c>
      <c r="D45" s="11" t="n">
        <v>28110</v>
      </c>
      <c r="E45" s="28" t="n">
        <f aca="false">C45/D45</f>
        <v>0.915688367129136</v>
      </c>
    </row>
    <row r="46" customFormat="false" ht="15" hidden="false" customHeight="false" outlineLevel="0" collapsed="false">
      <c r="A46" s="34" t="n">
        <v>2020</v>
      </c>
      <c r="B46" s="11" t="n">
        <v>26160</v>
      </c>
      <c r="C46" s="11" t="n">
        <v>26380</v>
      </c>
      <c r="D46" s="11" t="n">
        <v>29050</v>
      </c>
      <c r="E46" s="28" t="n">
        <f aca="false">C46/D46</f>
        <v>0.908089500860585</v>
      </c>
    </row>
    <row r="47" customFormat="false" ht="15" hidden="false" customHeight="false" outlineLevel="0" collapsed="false">
      <c r="A47" s="34" t="n">
        <v>2021</v>
      </c>
      <c r="B47" s="11" t="n">
        <v>26070</v>
      </c>
      <c r="C47" s="11" t="n">
        <v>26080</v>
      </c>
      <c r="D47" s="11" t="n">
        <v>29110</v>
      </c>
      <c r="E47" s="28" t="n">
        <f aca="false">C47/D47</f>
        <v>0.895912057712127</v>
      </c>
    </row>
    <row r="48" customFormat="false" ht="15" hidden="false" customHeight="false" outlineLevel="0" collapsed="false">
      <c r="A48" s="34" t="n">
        <v>2022</v>
      </c>
      <c r="B48" s="11" t="n">
        <v>26030</v>
      </c>
      <c r="C48" s="11" t="n">
        <v>25610</v>
      </c>
      <c r="D48" s="11" t="n">
        <v>29230</v>
      </c>
      <c r="E48" s="28" t="n">
        <f aca="false">C48/D48</f>
        <v>0.876154635648307</v>
      </c>
    </row>
    <row r="49" customFormat="false" ht="15" hidden="false" customHeight="false" outlineLevel="0" collapsed="false">
      <c r="A49" s="34" t="n">
        <v>2023</v>
      </c>
      <c r="B49" s="11" t="n">
        <v>26280</v>
      </c>
      <c r="C49" s="11" t="n">
        <v>25920</v>
      </c>
      <c r="D49" s="11" t="n">
        <v>29320</v>
      </c>
      <c r="E49" s="28" t="n">
        <f aca="false">C49/D49</f>
        <v>0.884038199181446</v>
      </c>
    </row>
    <row r="50" customFormat="false" ht="15" hidden="false" customHeight="false" outlineLevel="0" collapsed="false">
      <c r="A50" s="34" t="n">
        <v>2024</v>
      </c>
      <c r="B50" s="11" t="n">
        <v>26740</v>
      </c>
      <c r="C50" s="11" t="n">
        <v>26830</v>
      </c>
      <c r="D50" s="11" t="n">
        <v>29860</v>
      </c>
      <c r="E50" s="28" t="n">
        <f aca="false">C50/D50</f>
        <v>0.898526456798393</v>
      </c>
    </row>
  </sheetData>
  <dataValidations count="5">
    <dataValidation allowBlank="false" errorStyle="stop" operator="between" showDropDown="false" showErrorMessage="false" showInputMessage="false" sqref="B8" type="list">
      <formula1>"Oui,Non"</formula1>
      <formula2>0</formula2>
    </dataValidation>
    <dataValidation allowBlank="false" errorStyle="stop" operator="between" showDropDown="false" showErrorMessage="false" showInputMessage="false" sqref="B7" type="list">
      <formula1>"Oui,Non"</formula1>
      <formula2>0</formula2>
    </dataValidation>
    <dataValidation allowBlank="false" errorStyle="stop" operator="between" showDropDown="false" showErrorMessage="false" showInputMessage="false" sqref="B5" type="list">
      <formula1>"Oui,Non"</formula1>
      <formula2>0</formula2>
    </dataValidation>
    <dataValidation allowBlank="false" errorStyle="stop" operator="between" showDropDown="false" showErrorMessage="false" showInputMessage="false" sqref="B6" type="list">
      <formula1>"Oui,Non"</formula1>
      <formula2>0</formula2>
    </dataValidation>
    <dataValidation allowBlank="false" errorStyle="stop" operator="between" showDropDown="false" showErrorMessage="false" showInputMessage="false" sqref="B9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14" min="9" style="0" width="12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15" hidden="false" customHeight="false" outlineLevel="0" collapsed="false">
      <c r="A4" s="4" t="s">
        <v>219</v>
      </c>
      <c r="B4" s="35" t="n">
        <v>1960</v>
      </c>
    </row>
    <row r="5" customFormat="false" ht="15" hidden="false" customHeight="false" outlineLevel="0" collapsed="false">
      <c r="A5" s="4" t="s">
        <v>220</v>
      </c>
      <c r="B5" s="49" t="n">
        <v>0</v>
      </c>
    </row>
    <row r="6" customFormat="false" ht="15" hidden="false" customHeight="false" outlineLevel="0" collapsed="false">
      <c r="A6" s="4" t="s">
        <v>221</v>
      </c>
      <c r="B6" s="18" t="n">
        <v>0.01</v>
      </c>
    </row>
    <row r="7" customFormat="false" ht="15" hidden="false" customHeight="false" outlineLevel="0" collapsed="false">
      <c r="A7" s="4" t="s">
        <v>222</v>
      </c>
      <c r="B7" s="5" t="s">
        <v>134</v>
      </c>
    </row>
    <row r="9" customFormat="false" ht="15" hidden="false" customHeight="false" outlineLevel="0" collapsed="false">
      <c r="I9" s="3" t="s">
        <v>223</v>
      </c>
      <c r="L9" s="3" t="s">
        <v>224</v>
      </c>
    </row>
    <row r="10" customFormat="false" ht="23.85" hidden="false" customHeight="false" outlineLevel="0" collapsed="false">
      <c r="A10" s="10" t="s">
        <v>225</v>
      </c>
      <c r="B10" s="10" t="s">
        <v>226</v>
      </c>
      <c r="C10" s="10" t="s">
        <v>227</v>
      </c>
      <c r="D10" s="10" t="s">
        <v>228</v>
      </c>
      <c r="E10" s="10" t="s">
        <v>229</v>
      </c>
      <c r="I10" s="10" t="s">
        <v>214</v>
      </c>
      <c r="J10" s="10" t="s">
        <v>230</v>
      </c>
      <c r="L10" s="10" t="s">
        <v>214</v>
      </c>
      <c r="M10" s="10" t="s">
        <v>230</v>
      </c>
    </row>
    <row r="11" customFormat="false" ht="15" hidden="false" customHeight="false" outlineLevel="0" collapsed="false">
      <c r="A11" s="34" t="n">
        <v>1940</v>
      </c>
      <c r="B11" s="14" t="n">
        <v>0.01985</v>
      </c>
      <c r="C11" s="38" t="n">
        <v>24.71</v>
      </c>
      <c r="D11" s="38" t="n">
        <v>25.52</v>
      </c>
      <c r="E11" s="38" t="n">
        <v>35.3</v>
      </c>
      <c r="I11" s="34" t="n">
        <v>1987</v>
      </c>
      <c r="J11" s="14" t="n">
        <v>0.121</v>
      </c>
      <c r="L11" s="34" t="n">
        <v>1993</v>
      </c>
      <c r="M11" s="14" t="n">
        <v>0</v>
      </c>
    </row>
    <row r="12" customFormat="false" ht="15" hidden="false" customHeight="false" outlineLevel="0" collapsed="false">
      <c r="A12" s="34" t="n">
        <v>1945</v>
      </c>
      <c r="B12" s="14" t="n">
        <v>0.01887</v>
      </c>
      <c r="C12" s="38" t="n">
        <v>25.01</v>
      </c>
      <c r="D12" s="38" t="n">
        <v>25.79</v>
      </c>
      <c r="E12" s="38" t="n">
        <v>36.27</v>
      </c>
      <c r="I12" s="34" t="n">
        <v>2004</v>
      </c>
      <c r="J12" s="14" t="n">
        <v>0.1797</v>
      </c>
      <c r="L12" s="34" t="n">
        <v>2018</v>
      </c>
      <c r="M12" s="14" t="n">
        <v>0.05</v>
      </c>
    </row>
    <row r="13" customFormat="false" ht="15" hidden="false" customHeight="false" outlineLevel="0" collapsed="false">
      <c r="A13" s="34" t="n">
        <v>1950</v>
      </c>
      <c r="B13" s="14" t="n">
        <v>0.01768</v>
      </c>
      <c r="C13" s="38" t="n">
        <v>25.51</v>
      </c>
      <c r="D13" s="38" t="n">
        <v>25.99</v>
      </c>
      <c r="E13" s="38" t="n">
        <v>38.02</v>
      </c>
      <c r="I13" s="34" t="n">
        <v>2005</v>
      </c>
      <c r="J13" s="14" t="n">
        <v>0.179</v>
      </c>
    </row>
    <row r="14" customFormat="false" ht="15" hidden="false" customHeight="false" outlineLevel="0" collapsed="false">
      <c r="A14" s="34" t="n">
        <v>1955</v>
      </c>
      <c r="B14" s="14" t="n">
        <v>0.01243</v>
      </c>
      <c r="C14" s="38" t="n">
        <v>24.18</v>
      </c>
      <c r="D14" s="38" t="n">
        <v>26.1</v>
      </c>
      <c r="E14" s="38" t="n">
        <v>39.46</v>
      </c>
      <c r="I14" s="34" t="n">
        <v>2006</v>
      </c>
      <c r="J14" s="14" t="n">
        <v>0.1795</v>
      </c>
    </row>
    <row r="15" customFormat="false" ht="15" hidden="false" customHeight="false" outlineLevel="0" collapsed="false">
      <c r="A15" s="34" t="n">
        <v>1960</v>
      </c>
      <c r="B15" s="14" t="n">
        <v>0.01212</v>
      </c>
      <c r="C15" s="38" t="n">
        <v>24.23</v>
      </c>
      <c r="D15" s="38" t="n">
        <v>26.67</v>
      </c>
      <c r="E15" s="38" t="n">
        <v>39.33</v>
      </c>
      <c r="I15" s="34" t="n">
        <v>2007</v>
      </c>
      <c r="J15" s="14" t="n">
        <v>0.1771</v>
      </c>
    </row>
    <row r="16" customFormat="false" ht="15" hidden="false" customHeight="false" outlineLevel="0" collapsed="false">
      <c r="A16" s="34" t="n">
        <v>1965</v>
      </c>
      <c r="B16" s="14" t="n">
        <v>0.01105</v>
      </c>
      <c r="C16" s="38" t="n">
        <v>23.77</v>
      </c>
      <c r="D16" s="38" t="n">
        <v>27.25</v>
      </c>
      <c r="E16" s="38" t="n">
        <v>39.13</v>
      </c>
      <c r="I16" s="34" t="n">
        <v>2008</v>
      </c>
      <c r="J16" s="14" t="n">
        <v>0.1906</v>
      </c>
    </row>
    <row r="17" customFormat="false" ht="15" hidden="false" customHeight="false" outlineLevel="0" collapsed="false">
      <c r="A17" s="34" t="n">
        <v>1970</v>
      </c>
      <c r="B17" s="14" t="n">
        <v>0.00882</v>
      </c>
      <c r="C17" s="38" t="n">
        <v>23.6</v>
      </c>
      <c r="D17" s="38" t="n">
        <v>27.78</v>
      </c>
      <c r="E17" s="38" t="n">
        <v>39.05</v>
      </c>
      <c r="I17" s="34" t="n">
        <v>2009</v>
      </c>
      <c r="J17" s="14" t="n">
        <v>0.1811</v>
      </c>
    </row>
    <row r="18" customFormat="false" ht="15" hidden="false" customHeight="false" outlineLevel="0" collapsed="false">
      <c r="A18" s="34" t="n">
        <v>1975</v>
      </c>
      <c r="B18" s="14" t="n">
        <v>0.00776</v>
      </c>
      <c r="C18" s="38" t="n">
        <v>23.81</v>
      </c>
      <c r="D18" s="38" t="n">
        <v>28.3</v>
      </c>
      <c r="E18" s="38" t="n">
        <v>38.34</v>
      </c>
      <c r="I18" s="34" t="n">
        <v>2010</v>
      </c>
      <c r="J18" s="14" t="n">
        <v>0.1775</v>
      </c>
    </row>
    <row r="19" customFormat="false" ht="15" hidden="false" customHeight="false" outlineLevel="0" collapsed="false">
      <c r="A19" s="34" t="n">
        <v>1980</v>
      </c>
      <c r="B19" s="14" t="n">
        <v>0.00796</v>
      </c>
      <c r="C19" s="38" t="n">
        <v>24.33</v>
      </c>
      <c r="D19" s="38" t="n">
        <v>28.8</v>
      </c>
      <c r="E19" s="38" t="n">
        <v>38.35</v>
      </c>
      <c r="I19" s="34" t="n">
        <v>2011</v>
      </c>
      <c r="J19" s="14" t="n">
        <v>0.1934</v>
      </c>
    </row>
    <row r="20" customFormat="false" ht="15" hidden="false" customHeight="false" outlineLevel="0" collapsed="false">
      <c r="A20" s="34" t="n">
        <v>1985</v>
      </c>
      <c r="B20" s="14" t="n">
        <v>0.00786</v>
      </c>
      <c r="C20" s="38" t="n">
        <v>24.73</v>
      </c>
      <c r="D20" s="38" t="n">
        <v>29.29</v>
      </c>
      <c r="E20" s="38" t="n">
        <v>38.04</v>
      </c>
      <c r="I20" s="34" t="n">
        <v>2012</v>
      </c>
      <c r="J20" s="14" t="n">
        <v>0.1974</v>
      </c>
    </row>
    <row r="21" customFormat="false" ht="15" hidden="false" customHeight="false" outlineLevel="0" collapsed="false">
      <c r="A21" s="34" t="n">
        <v>1990</v>
      </c>
      <c r="B21" s="14" t="n">
        <v>0.00795</v>
      </c>
      <c r="C21" s="38" t="n">
        <v>25.16</v>
      </c>
      <c r="D21" s="38" t="n">
        <v>29.74</v>
      </c>
      <c r="E21" s="38" t="n">
        <v>37.85</v>
      </c>
      <c r="I21" s="34" t="n">
        <v>2013</v>
      </c>
      <c r="J21" s="14" t="n">
        <v>0.205</v>
      </c>
    </row>
    <row r="22" customFormat="false" ht="15" hidden="false" customHeight="false" outlineLevel="0" collapsed="false">
      <c r="A22" s="34" t="n">
        <v>1995</v>
      </c>
      <c r="B22" s="14" t="n">
        <v>0.00824</v>
      </c>
      <c r="C22" s="38" t="n">
        <v>25.58</v>
      </c>
      <c r="D22" s="38" t="n">
        <v>30.17</v>
      </c>
      <c r="E22" s="38" t="n">
        <v>37.87</v>
      </c>
      <c r="I22" s="34" t="n">
        <v>2014</v>
      </c>
      <c r="J22" s="14" t="n">
        <v>0.208</v>
      </c>
    </row>
    <row r="23" customFormat="false" ht="15" hidden="false" customHeight="false" outlineLevel="0" collapsed="false">
      <c r="A23" s="34" t="n">
        <v>2000</v>
      </c>
      <c r="B23" s="14" t="n">
        <v>0.00827</v>
      </c>
      <c r="C23" s="38" t="n">
        <v>26.02</v>
      </c>
      <c r="D23" s="38" t="n">
        <v>30.58</v>
      </c>
      <c r="E23" s="38" t="n">
        <v>37.91</v>
      </c>
      <c r="I23" s="34" t="n">
        <v>2015</v>
      </c>
      <c r="J23" s="14" t="n">
        <v>0.2089</v>
      </c>
    </row>
    <row r="24" customFormat="false" ht="15" hidden="false" customHeight="false" outlineLevel="0" collapsed="false">
      <c r="I24" s="34" t="n">
        <v>2016</v>
      </c>
      <c r="J24" s="14" t="n">
        <v>0.2081</v>
      </c>
    </row>
    <row r="25" customFormat="false" ht="15" hidden="false" customHeight="false" outlineLevel="0" collapsed="false">
      <c r="I25" s="34" t="n">
        <v>2017</v>
      </c>
      <c r="J25" s="14" t="n">
        <v>0.2052</v>
      </c>
    </row>
    <row r="26" customFormat="false" ht="15" hidden="false" customHeight="false" outlineLevel="0" collapsed="false">
      <c r="I26" s="34" t="n">
        <v>2018</v>
      </c>
      <c r="J26" s="14" t="n">
        <v>0.2026</v>
      </c>
    </row>
    <row r="27" customFormat="false" ht="15" hidden="false" customHeight="false" outlineLevel="0" collapsed="false">
      <c r="I27" s="34" t="n">
        <v>2019</v>
      </c>
      <c r="J27" s="14" t="n">
        <v>0.2005</v>
      </c>
    </row>
    <row r="28" customFormat="false" ht="15" hidden="false" customHeight="false" outlineLevel="0" collapsed="false">
      <c r="I28" s="34" t="n">
        <v>2020</v>
      </c>
      <c r="J28" s="14" t="n">
        <v>0.2158</v>
      </c>
    </row>
    <row r="29" customFormat="false" ht="15" hidden="false" customHeight="false" outlineLevel="0" collapsed="false">
      <c r="A29" s="3" t="s">
        <v>231</v>
      </c>
      <c r="I29" s="34" t="n">
        <v>2021</v>
      </c>
      <c r="J29" s="14" t="n">
        <v>0.2079</v>
      </c>
    </row>
    <row r="30" customFormat="false" ht="15" hidden="false" customHeight="false" outlineLevel="0" collapsed="false">
      <c r="A30" s="4" t="s">
        <v>232</v>
      </c>
      <c r="B30" s="22" t="n">
        <f aca="false">INDEX(B$11:B$23,MATCH($B$4,$A$11:$A$23,0))</f>
        <v>0.01212</v>
      </c>
      <c r="I30" s="34" t="n">
        <v>2022</v>
      </c>
      <c r="J30" s="14" t="n">
        <v>0.2101</v>
      </c>
    </row>
    <row r="31" customFormat="false" ht="15" hidden="false" customHeight="false" outlineLevel="0" collapsed="false">
      <c r="A31" s="4" t="s">
        <v>233</v>
      </c>
      <c r="B31" s="50" t="n">
        <f aca="false">60+INDEX(D$11:D$23,MATCH($B$4,$A$11:$A$23,0))-INDEX(C$11:C$23,MATCH($B$4,$A$11:$A$23,0))</f>
        <v>62.44</v>
      </c>
      <c r="I31" s="34" t="n">
        <v>2023</v>
      </c>
      <c r="J31" s="14" t="n">
        <v>0.2089</v>
      </c>
    </row>
    <row r="32" customFormat="false" ht="15" hidden="false" customHeight="false" outlineLevel="0" collapsed="false">
      <c r="A32" s="4" t="s">
        <v>234</v>
      </c>
      <c r="B32" s="50" t="n">
        <f aca="false">B31-INDEX(E$11:E$23,MATCH($B$4,$A$11:$A$23,0))</f>
        <v>23.11</v>
      </c>
      <c r="I32" s="34" t="n">
        <v>2024</v>
      </c>
      <c r="J32" s="14" t="n">
        <v>0.2089</v>
      </c>
    </row>
    <row r="33" customFormat="false" ht="15" hidden="false" customHeight="false" outlineLevel="0" collapsed="false">
      <c r="A33" s="4" t="s">
        <v>235</v>
      </c>
      <c r="B33" s="50" t="n">
        <f aca="false">B31+INDEX(C$11:C$23,MATCH($B$4,$A$11:$A$23,0))</f>
        <v>86.67</v>
      </c>
      <c r="I33" s="34" t="n">
        <v>2025</v>
      </c>
      <c r="J33" s="14" t="n">
        <v>0.2104</v>
      </c>
    </row>
    <row r="34" customFormat="false" ht="15" hidden="false" customHeight="false" outlineLevel="0" collapsed="false">
      <c r="A34" s="4" t="s">
        <v>236</v>
      </c>
      <c r="B34" s="43" t="n">
        <f aca="false">SUM(D60:D259)/SUM(I60:I259)</f>
        <v>2.67572212833497</v>
      </c>
    </row>
    <row r="35" customFormat="false" ht="15" hidden="false" customHeight="false" outlineLevel="0" collapsed="false">
      <c r="A35" s="4" t="s">
        <v>237</v>
      </c>
      <c r="B35" s="46" t="n">
        <f aca="false">100000*B34*SUM(J60:J259)/SUM(E60:E259)</f>
        <v>146711.465476685</v>
      </c>
    </row>
    <row r="57" customFormat="false" ht="15" hidden="false" customHeight="false" outlineLevel="0" collapsed="false">
      <c r="A57" s="3" t="s">
        <v>238</v>
      </c>
    </row>
    <row r="59" customFormat="false" ht="23.85" hidden="false" customHeight="false" outlineLevel="0" collapsed="false">
      <c r="A59" s="10" t="s">
        <v>239</v>
      </c>
      <c r="B59" s="10" t="s">
        <v>240</v>
      </c>
      <c r="C59" s="10" t="s">
        <v>241</v>
      </c>
      <c r="D59" s="10" t="s">
        <v>242</v>
      </c>
      <c r="E59" s="10" t="s">
        <v>243</v>
      </c>
      <c r="F59" s="10"/>
      <c r="G59" s="10" t="s">
        <v>244</v>
      </c>
      <c r="H59" s="10" t="s">
        <v>240</v>
      </c>
      <c r="I59" s="10" t="s">
        <v>242</v>
      </c>
      <c r="J59" s="10" t="s">
        <v>243</v>
      </c>
      <c r="K59" s="10"/>
      <c r="L59" s="10" t="s">
        <v>241</v>
      </c>
    </row>
    <row r="60" customFormat="false" ht="15" hidden="false" customHeight="false" outlineLevel="0" collapsed="false">
      <c r="A60" s="32" t="n">
        <f aca="false">$B$32+0.125+0*0.25</f>
        <v>23.235</v>
      </c>
      <c r="B60" s="27" t="n">
        <f aca="false">IF(A60&lt;$B$31,1,0)</f>
        <v>1</v>
      </c>
      <c r="C60" s="43" t="n">
        <f aca="false">IF($B$7="Oui",1+((IF(($B$4+A60)&lt;=$I$11,$J$11,IF(($B$4+A60)&gt;=$I$33,$J$33,INDEX($J$11:$J$33,MATCH(($B$4+A60),$I$11:$I$33,1))+(INDEX($J$11:$J$33,MATCH(($B$4+A60),$I$11:$I$33,1)+1)-INDEX($J$11:$J$33,MATCH(($B$4+A60),$I$11:$I$33,1)))*(($B$4+A60)-INDEX($I$11:$I$33,MATCH(($B$4+A60),$I$11:$I$33,1)))/(INDEX($I$11:$I$33,MATCH(($B$4+A60),$I$11:$I$33,1)+1)-INDEX($I$11:$I$33,MATCH(($B$4+A60),$I$11:$I$33,1))))))-(IF(($B$4+A60)&lt;=$L$11,$M$11,IF(($B$4+A60)&gt;=$L$12,$M$12,INDEX($M$11:$M$12,MATCH(($B$4+A60),$L$11:$L$12,1))+(INDEX($M$11:$M$12,MATCH(($B$4+A60),$L$11:$L$12,1)+1)-INDEX($M$11:$M$12,MATCH(($B$4+A60),$L$11:$L$12,1)))*(($B$4+A60)-INDEX($L$11:$L$12,MATCH(($B$4+A60),$L$11:$L$12,1)))/(INDEX($L$11:$L$12,MATCH(($B$4+A60),$L$11:$L$12,1)+1)-INDEX($L$11:$L$12,MATCH(($B$4+A60),$L$11:$L$12,1)))))))/(1-(IF(($B$4+A60)&lt;=$I$11,$J$11,IF(($B$4+A60)&gt;=$I$33,$J$33,INDEX($J$11:$J$33,MATCH(($B$4+A60),$I$11:$I$33,1))+(INDEX($J$11:$J$33,MATCH(($B$4+A60),$I$11:$I$33,1)+1)-INDEX($J$11:$J$33,MATCH(($B$4+A60),$I$11:$I$33,1)))*(($B$4+A60)-INDEX($I$11:$I$33,MATCH(($B$4+A60),$I$11:$I$33,1)))/(INDEX($I$11:$I$33,MATCH(($B$4+A60),$I$11:$I$33,1)+1)-INDEX($I$11:$I$33,MATCH(($B$4+A60),$I$11:$I$33,1))))))),1)</f>
        <v>1</v>
      </c>
      <c r="D60" s="43" t="n">
        <f aca="false">B60*(1+$B$30)^(-A60)</f>
        <v>0.755847744643771</v>
      </c>
      <c r="E60" s="43" t="n">
        <f aca="false">B60*C60*(1+$B$5)^(-A60)</f>
        <v>1</v>
      </c>
      <c r="G60" s="32" t="n">
        <f aca="false">$B$31+0.125+0*0.25</f>
        <v>62.565</v>
      </c>
      <c r="H60" s="27" t="n">
        <f aca="false">IF(G60&lt;$B$33,1,0)</f>
        <v>1</v>
      </c>
      <c r="I60" s="43" t="n">
        <f aca="false">H60*(1-$B$6)^(G60-$B$31)*(1+$B$30)^(-G60)</f>
        <v>0.470017353293973</v>
      </c>
      <c r="J60" s="43" t="n">
        <f aca="false">H60*(1-$B$6)^(G60-$B$31)*L60*(1+$B$5)^(-G60)</f>
        <v>0.998744496822727</v>
      </c>
      <c r="L60" s="43" t="n">
        <f aca="false">IF($B$7="Oui",1-(IF(($B$4+G60)&lt;=$L$11,$M$11,IF(($B$4+G60)&gt;=$L$12,$M$12,INDEX($M$11:$M$12,MATCH(($B$4+G60),$L$11:$L$12,1))+(INDEX($M$11:$M$12,MATCH(($B$4+G60),$L$11:$L$12,1)+1)-INDEX($M$11:$M$12,MATCH(($B$4+G60),$L$11:$L$12,1)))*(($B$4+G60)-INDEX($L$11:$L$12,MATCH(($B$4+G60),$L$11:$L$12,1)))/(INDEX($L$11:$L$12,MATCH(($B$4+G60),$L$11:$L$12,1)+1)-INDEX($L$11:$L$12,MATCH(($B$4+G60),$L$11:$L$12,1)))))),1)</f>
        <v>1</v>
      </c>
    </row>
    <row r="61" customFormat="false" ht="15" hidden="false" customHeight="false" outlineLevel="0" collapsed="false">
      <c r="A61" s="32" t="n">
        <f aca="false">$B$32+0.125+1*0.25</f>
        <v>23.485</v>
      </c>
      <c r="B61" s="27" t="n">
        <f aca="false">IF(A61&lt;$B$31,1,0)</f>
        <v>1</v>
      </c>
      <c r="C61" s="43" t="n">
        <f aca="false">IF($B$7="Oui",1+((IF(($B$4+A61)&lt;=$I$11,$J$11,IF(($B$4+A61)&gt;=$I$33,$J$33,INDEX($J$11:$J$33,MATCH(($B$4+A61),$I$11:$I$33,1))+(INDEX($J$11:$J$33,MATCH(($B$4+A61),$I$11:$I$33,1)+1)-INDEX($J$11:$J$33,MATCH(($B$4+A61),$I$11:$I$33,1)))*(($B$4+A61)-INDEX($I$11:$I$33,MATCH(($B$4+A61),$I$11:$I$33,1)))/(INDEX($I$11:$I$33,MATCH(($B$4+A61),$I$11:$I$33,1)+1)-INDEX($I$11:$I$33,MATCH(($B$4+A61),$I$11:$I$33,1))))))-(IF(($B$4+A61)&lt;=$L$11,$M$11,IF(($B$4+A61)&gt;=$L$12,$M$12,INDEX($M$11:$M$12,MATCH(($B$4+A61),$L$11:$L$12,1))+(INDEX($M$11:$M$12,MATCH(($B$4+A61),$L$11:$L$12,1)+1)-INDEX($M$11:$M$12,MATCH(($B$4+A61),$L$11:$L$12,1)))*(($B$4+A61)-INDEX($L$11:$L$12,MATCH(($B$4+A61),$L$11:$L$12,1)))/(INDEX($L$11:$L$12,MATCH(($B$4+A61),$L$11:$L$12,1)+1)-INDEX($L$11:$L$12,MATCH(($B$4+A61),$L$11:$L$12,1)))))))/(1-(IF(($B$4+A61)&lt;=$I$11,$J$11,IF(($B$4+A61)&gt;=$I$33,$J$33,INDEX($J$11:$J$33,MATCH(($B$4+A61),$I$11:$I$33,1))+(INDEX($J$11:$J$33,MATCH(($B$4+A61),$I$11:$I$33,1)+1)-INDEX($J$11:$J$33,MATCH(($B$4+A61),$I$11:$I$33,1)))*(($B$4+A61)-INDEX($I$11:$I$33,MATCH(($B$4+A61),$I$11:$I$33,1)))/(INDEX($I$11:$I$33,MATCH(($B$4+A61),$I$11:$I$33,1)+1)-INDEX($I$11:$I$33,MATCH(($B$4+A61),$I$11:$I$33,1))))))),1)</f>
        <v>1</v>
      </c>
      <c r="D61" s="43" t="n">
        <f aca="false">B61*(1+$B$30)^(-A61)</f>
        <v>0.753574718223974</v>
      </c>
      <c r="E61" s="43" t="n">
        <f aca="false">B61*C61*(1+$B$5)^(-A61)</f>
        <v>1</v>
      </c>
      <c r="G61" s="32" t="n">
        <f aca="false">$B$31+0.125+1*0.25</f>
        <v>62.815</v>
      </c>
      <c r="H61" s="27" t="n">
        <f aca="false">IF(G61&lt;$B$33,1,0)</f>
        <v>1</v>
      </c>
      <c r="I61" s="43" t="n">
        <f aca="false">H61*(1-$B$6)^(G61-$B$31)*(1+$B$30)^(-G61)</f>
        <v>0.467427962867917</v>
      </c>
      <c r="J61" s="43" t="n">
        <f aca="false">H61*(1-$B$6)^(G61-$B$31)*L61*(1+$B$5)^(-G61)</f>
        <v>0.996238217353829</v>
      </c>
      <c r="L61" s="43" t="n">
        <f aca="false">IF($B$7="Oui",1-(IF(($B$4+G61)&lt;=$L$11,$M$11,IF(($B$4+G61)&gt;=$L$12,$M$12,INDEX($M$11:$M$12,MATCH(($B$4+G61),$L$11:$L$12,1))+(INDEX($M$11:$M$12,MATCH(($B$4+G61),$L$11:$L$12,1)+1)-INDEX($M$11:$M$12,MATCH(($B$4+G61),$L$11:$L$12,1)))*(($B$4+G61)-INDEX($L$11:$L$12,MATCH(($B$4+G61),$L$11:$L$12,1)))/(INDEX($L$11:$L$12,MATCH(($B$4+G61),$L$11:$L$12,1)+1)-INDEX($L$11:$L$12,MATCH(($B$4+G61),$L$11:$L$12,1)))))),1)</f>
        <v>1</v>
      </c>
    </row>
    <row r="62" customFormat="false" ht="15" hidden="false" customHeight="false" outlineLevel="0" collapsed="false">
      <c r="A62" s="32" t="n">
        <f aca="false">$B$32+0.125+2*0.25</f>
        <v>23.735</v>
      </c>
      <c r="B62" s="27" t="n">
        <f aca="false">IF(A62&lt;$B$31,1,0)</f>
        <v>1</v>
      </c>
      <c r="C62" s="43" t="n">
        <f aca="false">IF($B$7="Oui",1+((IF(($B$4+A62)&lt;=$I$11,$J$11,IF(($B$4+A62)&gt;=$I$33,$J$33,INDEX($J$11:$J$33,MATCH(($B$4+A62),$I$11:$I$33,1))+(INDEX($J$11:$J$33,MATCH(($B$4+A62),$I$11:$I$33,1)+1)-INDEX($J$11:$J$33,MATCH(($B$4+A62),$I$11:$I$33,1)))*(($B$4+A62)-INDEX($I$11:$I$33,MATCH(($B$4+A62),$I$11:$I$33,1)))/(INDEX($I$11:$I$33,MATCH(($B$4+A62),$I$11:$I$33,1)+1)-INDEX($I$11:$I$33,MATCH(($B$4+A62),$I$11:$I$33,1))))))-(IF(($B$4+A62)&lt;=$L$11,$M$11,IF(($B$4+A62)&gt;=$L$12,$M$12,INDEX($M$11:$M$12,MATCH(($B$4+A62),$L$11:$L$12,1))+(INDEX($M$11:$M$12,MATCH(($B$4+A62),$L$11:$L$12,1)+1)-INDEX($M$11:$M$12,MATCH(($B$4+A62),$L$11:$L$12,1)))*(($B$4+A62)-INDEX($L$11:$L$12,MATCH(($B$4+A62),$L$11:$L$12,1)))/(INDEX($L$11:$L$12,MATCH(($B$4+A62),$L$11:$L$12,1)+1)-INDEX($L$11:$L$12,MATCH(($B$4+A62),$L$11:$L$12,1)))))))/(1-(IF(($B$4+A62)&lt;=$I$11,$J$11,IF(($B$4+A62)&gt;=$I$33,$J$33,INDEX($J$11:$J$33,MATCH(($B$4+A62),$I$11:$I$33,1))+(INDEX($J$11:$J$33,MATCH(($B$4+A62),$I$11:$I$33,1)+1)-INDEX($J$11:$J$33,MATCH(($B$4+A62),$I$11:$I$33,1)))*(($B$4+A62)-INDEX($I$11:$I$33,MATCH(($B$4+A62),$I$11:$I$33,1)))/(INDEX($I$11:$I$33,MATCH(($B$4+A62),$I$11:$I$33,1)+1)-INDEX($I$11:$I$33,MATCH(($B$4+A62),$I$11:$I$33,1))))))),1)</f>
        <v>1</v>
      </c>
      <c r="D62" s="43" t="n">
        <f aca="false">B62*(1+$B$30)^(-A62)</f>
        <v>0.751308527372771</v>
      </c>
      <c r="E62" s="43" t="n">
        <f aca="false">B62*C62*(1+$B$5)^(-A62)</f>
        <v>1</v>
      </c>
      <c r="G62" s="32" t="n">
        <f aca="false">$B$31+0.125+2*0.25</f>
        <v>63.065</v>
      </c>
      <c r="H62" s="27" t="n">
        <f aca="false">IF(G62&lt;$B$33,1,0)</f>
        <v>1</v>
      </c>
      <c r="I62" s="43" t="n">
        <f aca="false">H62*(1-$B$6)^(G62-$B$31)*(1+$B$30)^(-G62)</f>
        <v>0.464852837750857</v>
      </c>
      <c r="J62" s="43" t="n">
        <f aca="false">H62*(1-$B$6)^(G62-$B$31)*L62*(1+$B$5)^(-G62)</f>
        <v>0.993738227217985</v>
      </c>
      <c r="L62" s="43" t="n">
        <f aca="false">IF($B$7="Oui",1-(IF(($B$4+G62)&lt;=$L$11,$M$11,IF(($B$4+G62)&gt;=$L$12,$M$12,INDEX($M$11:$M$12,MATCH(($B$4+G62),$L$11:$L$12,1))+(INDEX($M$11:$M$12,MATCH(($B$4+G62),$L$11:$L$12,1)+1)-INDEX($M$11:$M$12,MATCH(($B$4+G62),$L$11:$L$12,1)))*(($B$4+G62)-INDEX($L$11:$L$12,MATCH(($B$4+G62),$L$11:$L$12,1)))/(INDEX($L$11:$L$12,MATCH(($B$4+G62),$L$11:$L$12,1)+1)-INDEX($L$11:$L$12,MATCH(($B$4+G62),$L$11:$L$12,1)))))),1)</f>
        <v>1</v>
      </c>
    </row>
    <row r="63" customFormat="false" ht="15" hidden="false" customHeight="false" outlineLevel="0" collapsed="false">
      <c r="A63" s="32" t="n">
        <f aca="false">$B$32+0.125+3*0.25</f>
        <v>23.985</v>
      </c>
      <c r="B63" s="27" t="n">
        <f aca="false">IF(A63&lt;$B$31,1,0)</f>
        <v>1</v>
      </c>
      <c r="C63" s="43" t="n">
        <f aca="false">IF($B$7="Oui",1+((IF(($B$4+A63)&lt;=$I$11,$J$11,IF(($B$4+A63)&gt;=$I$33,$J$33,INDEX($J$11:$J$33,MATCH(($B$4+A63),$I$11:$I$33,1))+(INDEX($J$11:$J$33,MATCH(($B$4+A63),$I$11:$I$33,1)+1)-INDEX($J$11:$J$33,MATCH(($B$4+A63),$I$11:$I$33,1)))*(($B$4+A63)-INDEX($I$11:$I$33,MATCH(($B$4+A63),$I$11:$I$33,1)))/(INDEX($I$11:$I$33,MATCH(($B$4+A63),$I$11:$I$33,1)+1)-INDEX($I$11:$I$33,MATCH(($B$4+A63),$I$11:$I$33,1))))))-(IF(($B$4+A63)&lt;=$L$11,$M$11,IF(($B$4+A63)&gt;=$L$12,$M$12,INDEX($M$11:$M$12,MATCH(($B$4+A63),$L$11:$L$12,1))+(INDEX($M$11:$M$12,MATCH(($B$4+A63),$L$11:$L$12,1)+1)-INDEX($M$11:$M$12,MATCH(($B$4+A63),$L$11:$L$12,1)))*(($B$4+A63)-INDEX($L$11:$L$12,MATCH(($B$4+A63),$L$11:$L$12,1)))/(INDEX($L$11:$L$12,MATCH(($B$4+A63),$L$11:$L$12,1)+1)-INDEX($L$11:$L$12,MATCH(($B$4+A63),$L$11:$L$12,1)))))))/(1-(IF(($B$4+A63)&lt;=$I$11,$J$11,IF(($B$4+A63)&gt;=$I$33,$J$33,INDEX($J$11:$J$33,MATCH(($B$4+A63),$I$11:$I$33,1))+(INDEX($J$11:$J$33,MATCH(($B$4+A63),$I$11:$I$33,1)+1)-INDEX($J$11:$J$33,MATCH(($B$4+A63),$I$11:$I$33,1)))*(($B$4+A63)-INDEX($I$11:$I$33,MATCH(($B$4+A63),$I$11:$I$33,1)))/(INDEX($I$11:$I$33,MATCH(($B$4+A63),$I$11:$I$33,1)+1)-INDEX($I$11:$I$33,MATCH(($B$4+A63),$I$11:$I$33,1))))))),1)</f>
        <v>1</v>
      </c>
      <c r="D63" s="43" t="n">
        <f aca="false">B63*(1+$B$30)^(-A63)</f>
        <v>0.749049151533869</v>
      </c>
      <c r="E63" s="43" t="n">
        <f aca="false">B63*C63*(1+$B$5)^(-A63)</f>
        <v>1</v>
      </c>
      <c r="G63" s="32" t="n">
        <f aca="false">$B$31+0.125+3*0.25</f>
        <v>63.315</v>
      </c>
      <c r="H63" s="27" t="n">
        <f aca="false">IF(G63&lt;$B$33,1,0)</f>
        <v>1</v>
      </c>
      <c r="I63" s="43" t="n">
        <f aca="false">H63*(1-$B$6)^(G63-$B$31)*(1+$B$30)^(-G63)</f>
        <v>0.462291899353239</v>
      </c>
      <c r="J63" s="43" t="n">
        <f aca="false">H63*(1-$B$6)^(G63-$B$31)*L63*(1+$B$5)^(-G63)</f>
        <v>0.991244510632554</v>
      </c>
      <c r="L63" s="43" t="n">
        <f aca="false">IF($B$7="Oui",1-(IF(($B$4+G63)&lt;=$L$11,$M$11,IF(($B$4+G63)&gt;=$L$12,$M$12,INDEX($M$11:$M$12,MATCH(($B$4+G63),$L$11:$L$12,1))+(INDEX($M$11:$M$12,MATCH(($B$4+G63),$L$11:$L$12,1)+1)-INDEX($M$11:$M$12,MATCH(($B$4+G63),$L$11:$L$12,1)))*(($B$4+G63)-INDEX($L$11:$L$12,MATCH(($B$4+G63),$L$11:$L$12,1)))/(INDEX($L$11:$L$12,MATCH(($B$4+G63),$L$11:$L$12,1)+1)-INDEX($L$11:$L$12,MATCH(($B$4+G63),$L$11:$L$12,1)))))),1)</f>
        <v>1</v>
      </c>
    </row>
    <row r="64" customFormat="false" ht="15" hidden="false" customHeight="false" outlineLevel="0" collapsed="false">
      <c r="A64" s="32" t="n">
        <f aca="false">$B$32+0.125+4*0.25</f>
        <v>24.235</v>
      </c>
      <c r="B64" s="27" t="n">
        <f aca="false">IF(A64&lt;$B$31,1,0)</f>
        <v>1</v>
      </c>
      <c r="C64" s="43" t="n">
        <f aca="false">IF($B$7="Oui",1+((IF(($B$4+A64)&lt;=$I$11,$J$11,IF(($B$4+A64)&gt;=$I$33,$J$33,INDEX($J$11:$J$33,MATCH(($B$4+A64),$I$11:$I$33,1))+(INDEX($J$11:$J$33,MATCH(($B$4+A64),$I$11:$I$33,1)+1)-INDEX($J$11:$J$33,MATCH(($B$4+A64),$I$11:$I$33,1)))*(($B$4+A64)-INDEX($I$11:$I$33,MATCH(($B$4+A64),$I$11:$I$33,1)))/(INDEX($I$11:$I$33,MATCH(($B$4+A64),$I$11:$I$33,1)+1)-INDEX($I$11:$I$33,MATCH(($B$4+A64),$I$11:$I$33,1))))))-(IF(($B$4+A64)&lt;=$L$11,$M$11,IF(($B$4+A64)&gt;=$L$12,$M$12,INDEX($M$11:$M$12,MATCH(($B$4+A64),$L$11:$L$12,1))+(INDEX($M$11:$M$12,MATCH(($B$4+A64),$L$11:$L$12,1)+1)-INDEX($M$11:$M$12,MATCH(($B$4+A64),$L$11:$L$12,1)))*(($B$4+A64)-INDEX($L$11:$L$12,MATCH(($B$4+A64),$L$11:$L$12,1)))/(INDEX($L$11:$L$12,MATCH(($B$4+A64),$L$11:$L$12,1)+1)-INDEX($L$11:$L$12,MATCH(($B$4+A64),$L$11:$L$12,1)))))))/(1-(IF(($B$4+A64)&lt;=$I$11,$J$11,IF(($B$4+A64)&gt;=$I$33,$J$33,INDEX($J$11:$J$33,MATCH(($B$4+A64),$I$11:$I$33,1))+(INDEX($J$11:$J$33,MATCH(($B$4+A64),$I$11:$I$33,1)+1)-INDEX($J$11:$J$33,MATCH(($B$4+A64),$I$11:$I$33,1)))*(($B$4+A64)-INDEX($I$11:$I$33,MATCH(($B$4+A64),$I$11:$I$33,1)))/(INDEX($I$11:$I$33,MATCH(($B$4+A64),$I$11:$I$33,1)+1)-INDEX($I$11:$I$33,MATCH(($B$4+A64),$I$11:$I$33,1))))))),1)</f>
        <v>1</v>
      </c>
      <c r="D64" s="43" t="n">
        <f aca="false">B64*(1+$B$30)^(-A64)</f>
        <v>0.746796570212792</v>
      </c>
      <c r="E64" s="43" t="n">
        <f aca="false">B64*C64*(1+$B$5)^(-A64)</f>
        <v>1</v>
      </c>
      <c r="G64" s="32" t="n">
        <f aca="false">$B$31+0.125+4*0.25</f>
        <v>63.565</v>
      </c>
      <c r="H64" s="27" t="n">
        <f aca="false">IF(G64&lt;$B$33,1,0)</f>
        <v>1</v>
      </c>
      <c r="I64" s="43" t="n">
        <f aca="false">H64*(1-$B$6)^(G64-$B$31)*(1+$B$30)^(-G64)</f>
        <v>0.459745069518469</v>
      </c>
      <c r="J64" s="43" t="n">
        <f aca="false">H64*(1-$B$6)^(G64-$B$31)*L64*(1+$B$5)^(-G64)</f>
        <v>0.988757051854499</v>
      </c>
      <c r="L64" s="43" t="n">
        <f aca="false">IF($B$7="Oui",1-(IF(($B$4+G64)&lt;=$L$11,$M$11,IF(($B$4+G64)&gt;=$L$12,$M$12,INDEX($M$11:$M$12,MATCH(($B$4+G64),$L$11:$L$12,1))+(INDEX($M$11:$M$12,MATCH(($B$4+G64),$L$11:$L$12,1)+1)-INDEX($M$11:$M$12,MATCH(($B$4+G64),$L$11:$L$12,1)))*(($B$4+G64)-INDEX($L$11:$L$12,MATCH(($B$4+G64),$L$11:$L$12,1)))/(INDEX($L$11:$L$12,MATCH(($B$4+G64),$L$11:$L$12,1)+1)-INDEX($L$11:$L$12,MATCH(($B$4+G64),$L$11:$L$12,1)))))),1)</f>
        <v>1</v>
      </c>
    </row>
    <row r="65" customFormat="false" ht="15" hidden="false" customHeight="false" outlineLevel="0" collapsed="false">
      <c r="A65" s="32" t="n">
        <f aca="false">$B$32+0.125+5*0.25</f>
        <v>24.485</v>
      </c>
      <c r="B65" s="27" t="n">
        <f aca="false">IF(A65&lt;$B$31,1,0)</f>
        <v>1</v>
      </c>
      <c r="C65" s="43" t="n">
        <f aca="false">IF($B$7="Oui",1+((IF(($B$4+A65)&lt;=$I$11,$J$11,IF(($B$4+A65)&gt;=$I$33,$J$33,INDEX($J$11:$J$33,MATCH(($B$4+A65),$I$11:$I$33,1))+(INDEX($J$11:$J$33,MATCH(($B$4+A65),$I$11:$I$33,1)+1)-INDEX($J$11:$J$33,MATCH(($B$4+A65),$I$11:$I$33,1)))*(($B$4+A65)-INDEX($I$11:$I$33,MATCH(($B$4+A65),$I$11:$I$33,1)))/(INDEX($I$11:$I$33,MATCH(($B$4+A65),$I$11:$I$33,1)+1)-INDEX($I$11:$I$33,MATCH(($B$4+A65),$I$11:$I$33,1))))))-(IF(($B$4+A65)&lt;=$L$11,$M$11,IF(($B$4+A65)&gt;=$L$12,$M$12,INDEX($M$11:$M$12,MATCH(($B$4+A65),$L$11:$L$12,1))+(INDEX($M$11:$M$12,MATCH(($B$4+A65),$L$11:$L$12,1)+1)-INDEX($M$11:$M$12,MATCH(($B$4+A65),$L$11:$L$12,1)))*(($B$4+A65)-INDEX($L$11:$L$12,MATCH(($B$4+A65),$L$11:$L$12,1)))/(INDEX($L$11:$L$12,MATCH(($B$4+A65),$L$11:$L$12,1)+1)-INDEX($L$11:$L$12,MATCH(($B$4+A65),$L$11:$L$12,1)))))))/(1-(IF(($B$4+A65)&lt;=$I$11,$J$11,IF(($B$4+A65)&gt;=$I$33,$J$33,INDEX($J$11:$J$33,MATCH(($B$4+A65),$I$11:$I$33,1))+(INDEX($J$11:$J$33,MATCH(($B$4+A65),$I$11:$I$33,1)+1)-INDEX($J$11:$J$33,MATCH(($B$4+A65),$I$11:$I$33,1)))*(($B$4+A65)-INDEX($I$11:$I$33,MATCH(($B$4+A65),$I$11:$I$33,1)))/(INDEX($I$11:$I$33,MATCH(($B$4+A65),$I$11:$I$33,1)+1)-INDEX($I$11:$I$33,MATCH(($B$4+A65),$I$11:$I$33,1))))))),1)</f>
        <v>1</v>
      </c>
      <c r="D65" s="43" t="n">
        <f aca="false">B65*(1+$B$30)^(-A65)</f>
        <v>0.744550762976697</v>
      </c>
      <c r="E65" s="43" t="n">
        <f aca="false">B65*C65*(1+$B$5)^(-A65)</f>
        <v>1</v>
      </c>
      <c r="G65" s="32" t="n">
        <f aca="false">$B$31+0.125+5*0.25</f>
        <v>63.815</v>
      </c>
      <c r="H65" s="27" t="n">
        <f aca="false">IF(G65&lt;$B$33,1,0)</f>
        <v>1</v>
      </c>
      <c r="I65" s="43" t="n">
        <f aca="false">H65*(1-$B$6)^(G65-$B$31)*(1+$B$30)^(-G65)</f>
        <v>0.457212270520529</v>
      </c>
      <c r="J65" s="43" t="n">
        <f aca="false">H65*(1-$B$6)^(G65-$B$31)*L65*(1+$B$5)^(-G65)</f>
        <v>0.986275835180291</v>
      </c>
      <c r="L65" s="43" t="n">
        <f aca="false">IF($B$7="Oui",1-(IF(($B$4+G65)&lt;=$L$11,$M$11,IF(($B$4+G65)&gt;=$L$12,$M$12,INDEX($M$11:$M$12,MATCH(($B$4+G65),$L$11:$L$12,1))+(INDEX($M$11:$M$12,MATCH(($B$4+G65),$L$11:$L$12,1)+1)-INDEX($M$11:$M$12,MATCH(($B$4+G65),$L$11:$L$12,1)))*(($B$4+G65)-INDEX($L$11:$L$12,MATCH(($B$4+G65),$L$11:$L$12,1)))/(INDEX($L$11:$L$12,MATCH(($B$4+G65),$L$11:$L$12,1)+1)-INDEX($L$11:$L$12,MATCH(($B$4+G65),$L$11:$L$12,1)))))),1)</f>
        <v>1</v>
      </c>
    </row>
    <row r="66" customFormat="false" ht="15" hidden="false" customHeight="false" outlineLevel="0" collapsed="false">
      <c r="A66" s="32" t="n">
        <f aca="false">$B$32+0.125+6*0.25</f>
        <v>24.735</v>
      </c>
      <c r="B66" s="27" t="n">
        <f aca="false">IF(A66&lt;$B$31,1,0)</f>
        <v>1</v>
      </c>
      <c r="C66" s="43" t="n">
        <f aca="false">IF($B$7="Oui",1+((IF(($B$4+A66)&lt;=$I$11,$J$11,IF(($B$4+A66)&gt;=$I$33,$J$33,INDEX($J$11:$J$33,MATCH(($B$4+A66),$I$11:$I$33,1))+(INDEX($J$11:$J$33,MATCH(($B$4+A66),$I$11:$I$33,1)+1)-INDEX($J$11:$J$33,MATCH(($B$4+A66),$I$11:$I$33,1)))*(($B$4+A66)-INDEX($I$11:$I$33,MATCH(($B$4+A66),$I$11:$I$33,1)))/(INDEX($I$11:$I$33,MATCH(($B$4+A66),$I$11:$I$33,1)+1)-INDEX($I$11:$I$33,MATCH(($B$4+A66),$I$11:$I$33,1))))))-(IF(($B$4+A66)&lt;=$L$11,$M$11,IF(($B$4+A66)&gt;=$L$12,$M$12,INDEX($M$11:$M$12,MATCH(($B$4+A66),$L$11:$L$12,1))+(INDEX($M$11:$M$12,MATCH(($B$4+A66),$L$11:$L$12,1)+1)-INDEX($M$11:$M$12,MATCH(($B$4+A66),$L$11:$L$12,1)))*(($B$4+A66)-INDEX($L$11:$L$12,MATCH(($B$4+A66),$L$11:$L$12,1)))/(INDEX($L$11:$L$12,MATCH(($B$4+A66),$L$11:$L$12,1)+1)-INDEX($L$11:$L$12,MATCH(($B$4+A66),$L$11:$L$12,1)))))))/(1-(IF(($B$4+A66)&lt;=$I$11,$J$11,IF(($B$4+A66)&gt;=$I$33,$J$33,INDEX($J$11:$J$33,MATCH(($B$4+A66),$I$11:$I$33,1))+(INDEX($J$11:$J$33,MATCH(($B$4+A66),$I$11:$I$33,1)+1)-INDEX($J$11:$J$33,MATCH(($B$4+A66),$I$11:$I$33,1)))*(($B$4+A66)-INDEX($I$11:$I$33,MATCH(($B$4+A66),$I$11:$I$33,1)))/(INDEX($I$11:$I$33,MATCH(($B$4+A66),$I$11:$I$33,1)+1)-INDEX($I$11:$I$33,MATCH(($B$4+A66),$I$11:$I$33,1))))))),1)</f>
        <v>1</v>
      </c>
      <c r="D66" s="43" t="n">
        <f aca="false">B66*(1+$B$30)^(-A66)</f>
        <v>0.742311709454187</v>
      </c>
      <c r="E66" s="43" t="n">
        <f aca="false">B66*C66*(1+$B$5)^(-A66)</f>
        <v>1</v>
      </c>
      <c r="G66" s="32" t="n">
        <f aca="false">$B$31+0.125+6*0.25</f>
        <v>64.065</v>
      </c>
      <c r="H66" s="27" t="n">
        <f aca="false">IF(G66&lt;$B$33,1,0)</f>
        <v>1</v>
      </c>
      <c r="I66" s="43" t="n">
        <f aca="false">H66*(1-$B$6)^(G66-$B$31)*(1+$B$30)^(-G66)</f>
        <v>0.454693425061602</v>
      </c>
      <c r="J66" s="43" t="n">
        <f aca="false">H66*(1-$B$6)^(G66-$B$31)*L66*(1+$B$5)^(-G66)</f>
        <v>0.983800844945805</v>
      </c>
      <c r="L66" s="43" t="n">
        <f aca="false">IF($B$7="Oui",1-(IF(($B$4+G66)&lt;=$L$11,$M$11,IF(($B$4+G66)&gt;=$L$12,$M$12,INDEX($M$11:$M$12,MATCH(($B$4+G66),$L$11:$L$12,1))+(INDEX($M$11:$M$12,MATCH(($B$4+G66),$L$11:$L$12,1)+1)-INDEX($M$11:$M$12,MATCH(($B$4+G66),$L$11:$L$12,1)))*(($B$4+G66)-INDEX($L$11:$L$12,MATCH(($B$4+G66),$L$11:$L$12,1)))/(INDEX($L$11:$L$12,MATCH(($B$4+G66),$L$11:$L$12,1)+1)-INDEX($L$11:$L$12,MATCH(($B$4+G66),$L$11:$L$12,1)))))),1)</f>
        <v>1</v>
      </c>
    </row>
    <row r="67" customFormat="false" ht="15" hidden="false" customHeight="false" outlineLevel="0" collapsed="false">
      <c r="A67" s="32" t="n">
        <f aca="false">$B$32+0.125+7*0.25</f>
        <v>24.985</v>
      </c>
      <c r="B67" s="27" t="n">
        <f aca="false">IF(A67&lt;$B$31,1,0)</f>
        <v>1</v>
      </c>
      <c r="C67" s="43" t="n">
        <f aca="false">IF($B$7="Oui",1+((IF(($B$4+A67)&lt;=$I$11,$J$11,IF(($B$4+A67)&gt;=$I$33,$J$33,INDEX($J$11:$J$33,MATCH(($B$4+A67),$I$11:$I$33,1))+(INDEX($J$11:$J$33,MATCH(($B$4+A67),$I$11:$I$33,1)+1)-INDEX($J$11:$J$33,MATCH(($B$4+A67),$I$11:$I$33,1)))*(($B$4+A67)-INDEX($I$11:$I$33,MATCH(($B$4+A67),$I$11:$I$33,1)))/(INDEX($I$11:$I$33,MATCH(($B$4+A67),$I$11:$I$33,1)+1)-INDEX($I$11:$I$33,MATCH(($B$4+A67),$I$11:$I$33,1))))))-(IF(($B$4+A67)&lt;=$L$11,$M$11,IF(($B$4+A67)&gt;=$L$12,$M$12,INDEX($M$11:$M$12,MATCH(($B$4+A67),$L$11:$L$12,1))+(INDEX($M$11:$M$12,MATCH(($B$4+A67),$L$11:$L$12,1)+1)-INDEX($M$11:$M$12,MATCH(($B$4+A67),$L$11:$L$12,1)))*(($B$4+A67)-INDEX($L$11:$L$12,MATCH(($B$4+A67),$L$11:$L$12,1)))/(INDEX($L$11:$L$12,MATCH(($B$4+A67),$L$11:$L$12,1)+1)-INDEX($L$11:$L$12,MATCH(($B$4+A67),$L$11:$L$12,1)))))))/(1-(IF(($B$4+A67)&lt;=$I$11,$J$11,IF(($B$4+A67)&gt;=$I$33,$J$33,INDEX($J$11:$J$33,MATCH(($B$4+A67),$I$11:$I$33,1))+(INDEX($J$11:$J$33,MATCH(($B$4+A67),$I$11:$I$33,1)+1)-INDEX($J$11:$J$33,MATCH(($B$4+A67),$I$11:$I$33,1)))*(($B$4+A67)-INDEX($I$11:$I$33,MATCH(($B$4+A67),$I$11:$I$33,1)))/(INDEX($I$11:$I$33,MATCH(($B$4+A67),$I$11:$I$33,1)+1)-INDEX($I$11:$I$33,MATCH(($B$4+A67),$I$11:$I$33,1))))))),1)</f>
        <v>1</v>
      </c>
      <c r="D67" s="43" t="n">
        <f aca="false">B67*(1+$B$30)^(-A67)</f>
        <v>0.740079389335127</v>
      </c>
      <c r="E67" s="43" t="n">
        <f aca="false">B67*C67*(1+$B$5)^(-A67)</f>
        <v>1</v>
      </c>
      <c r="G67" s="32" t="n">
        <f aca="false">$B$31+0.125+7*0.25</f>
        <v>64.315</v>
      </c>
      <c r="H67" s="27" t="n">
        <f aca="false">IF(G67&lt;$B$33,1,0)</f>
        <v>1</v>
      </c>
      <c r="I67" s="43" t="n">
        <f aca="false">H67*(1-$B$6)^(G67-$B$31)*(1+$B$30)^(-G67)</f>
        <v>0.452188456269718</v>
      </c>
      <c r="J67" s="43" t="n">
        <f aca="false">H67*(1-$B$6)^(G67-$B$31)*L67*(1+$B$5)^(-G67)</f>
        <v>0.981332065526229</v>
      </c>
      <c r="L67" s="43" t="n">
        <f aca="false">IF($B$7="Oui",1-(IF(($B$4+G67)&lt;=$L$11,$M$11,IF(($B$4+G67)&gt;=$L$12,$M$12,INDEX($M$11:$M$12,MATCH(($B$4+G67),$L$11:$L$12,1))+(INDEX($M$11:$M$12,MATCH(($B$4+G67),$L$11:$L$12,1)+1)-INDEX($M$11:$M$12,MATCH(($B$4+G67),$L$11:$L$12,1)))*(($B$4+G67)-INDEX($L$11:$L$12,MATCH(($B$4+G67),$L$11:$L$12,1)))/(INDEX($L$11:$L$12,MATCH(($B$4+G67),$L$11:$L$12,1)+1)-INDEX($L$11:$L$12,MATCH(($B$4+G67),$L$11:$L$12,1)))))),1)</f>
        <v>1</v>
      </c>
    </row>
    <row r="68" customFormat="false" ht="15" hidden="false" customHeight="false" outlineLevel="0" collapsed="false">
      <c r="A68" s="32" t="n">
        <f aca="false">$B$32+0.125+8*0.25</f>
        <v>25.235</v>
      </c>
      <c r="B68" s="27" t="n">
        <f aca="false">IF(A68&lt;$B$31,1,0)</f>
        <v>1</v>
      </c>
      <c r="C68" s="43" t="n">
        <f aca="false">IF($B$7="Oui",1+((IF(($B$4+A68)&lt;=$I$11,$J$11,IF(($B$4+A68)&gt;=$I$33,$J$33,INDEX($J$11:$J$33,MATCH(($B$4+A68),$I$11:$I$33,1))+(INDEX($J$11:$J$33,MATCH(($B$4+A68),$I$11:$I$33,1)+1)-INDEX($J$11:$J$33,MATCH(($B$4+A68),$I$11:$I$33,1)))*(($B$4+A68)-INDEX($I$11:$I$33,MATCH(($B$4+A68),$I$11:$I$33,1)))/(INDEX($I$11:$I$33,MATCH(($B$4+A68),$I$11:$I$33,1)+1)-INDEX($I$11:$I$33,MATCH(($B$4+A68),$I$11:$I$33,1))))))-(IF(($B$4+A68)&lt;=$L$11,$M$11,IF(($B$4+A68)&gt;=$L$12,$M$12,INDEX($M$11:$M$12,MATCH(($B$4+A68),$L$11:$L$12,1))+(INDEX($M$11:$M$12,MATCH(($B$4+A68),$L$11:$L$12,1)+1)-INDEX($M$11:$M$12,MATCH(($B$4+A68),$L$11:$L$12,1)))*(($B$4+A68)-INDEX($L$11:$L$12,MATCH(($B$4+A68),$L$11:$L$12,1)))/(INDEX($L$11:$L$12,MATCH(($B$4+A68),$L$11:$L$12,1)+1)-INDEX($L$11:$L$12,MATCH(($B$4+A68),$L$11:$L$12,1)))))))/(1-(IF(($B$4+A68)&lt;=$I$11,$J$11,IF(($B$4+A68)&gt;=$I$33,$J$33,INDEX($J$11:$J$33,MATCH(($B$4+A68),$I$11:$I$33,1))+(INDEX($J$11:$J$33,MATCH(($B$4+A68),$I$11:$I$33,1)+1)-INDEX($J$11:$J$33,MATCH(($B$4+A68),$I$11:$I$33,1)))*(($B$4+A68)-INDEX($I$11:$I$33,MATCH(($B$4+A68),$I$11:$I$33,1)))/(INDEX($I$11:$I$33,MATCH(($B$4+A68),$I$11:$I$33,1)+1)-INDEX($I$11:$I$33,MATCH(($B$4+A68),$I$11:$I$33,1))))))),1)</f>
        <v>1</v>
      </c>
      <c r="D68" s="43" t="n">
        <f aca="false">B68*(1+$B$30)^(-A68)</f>
        <v>0.737853782370462</v>
      </c>
      <c r="E68" s="43" t="n">
        <f aca="false">B68*C68*(1+$B$5)^(-A68)</f>
        <v>1</v>
      </c>
      <c r="G68" s="32" t="n">
        <f aca="false">$B$31+0.125+8*0.25</f>
        <v>64.565</v>
      </c>
      <c r="H68" s="27" t="n">
        <f aca="false">IF(G68&lt;$B$33,1,0)</f>
        <v>1</v>
      </c>
      <c r="I68" s="43" t="n">
        <f aca="false">H68*(1-$B$6)^(G68-$B$31)*(1+$B$30)^(-G68)</f>
        <v>0.449697287696404</v>
      </c>
      <c r="J68" s="43" t="n">
        <f aca="false">H68*(1-$B$6)^(G68-$B$31)*L68*(1+$B$5)^(-G68)</f>
        <v>0.978869481335954</v>
      </c>
      <c r="L68" s="43" t="n">
        <f aca="false">IF($B$7="Oui",1-(IF(($B$4+G68)&lt;=$L$11,$M$11,IF(($B$4+G68)&gt;=$L$12,$M$12,INDEX($M$11:$M$12,MATCH(($B$4+G68),$L$11:$L$12,1))+(INDEX($M$11:$M$12,MATCH(($B$4+G68),$L$11:$L$12,1)+1)-INDEX($M$11:$M$12,MATCH(($B$4+G68),$L$11:$L$12,1)))*(($B$4+G68)-INDEX($L$11:$L$12,MATCH(($B$4+G68),$L$11:$L$12,1)))/(INDEX($L$11:$L$12,MATCH(($B$4+G68),$L$11:$L$12,1)+1)-INDEX($L$11:$L$12,MATCH(($B$4+G68),$L$11:$L$12,1)))))),1)</f>
        <v>1</v>
      </c>
    </row>
    <row r="69" customFormat="false" ht="15" hidden="false" customHeight="false" outlineLevel="0" collapsed="false">
      <c r="A69" s="32" t="n">
        <f aca="false">$B$32+0.125+9*0.25</f>
        <v>25.485</v>
      </c>
      <c r="B69" s="27" t="n">
        <f aca="false">IF(A69&lt;$B$31,1,0)</f>
        <v>1</v>
      </c>
      <c r="C69" s="43" t="n">
        <f aca="false">IF($B$7="Oui",1+((IF(($B$4+A69)&lt;=$I$11,$J$11,IF(($B$4+A69)&gt;=$I$33,$J$33,INDEX($J$11:$J$33,MATCH(($B$4+A69),$I$11:$I$33,1))+(INDEX($J$11:$J$33,MATCH(($B$4+A69),$I$11:$I$33,1)+1)-INDEX($J$11:$J$33,MATCH(($B$4+A69),$I$11:$I$33,1)))*(($B$4+A69)-INDEX($I$11:$I$33,MATCH(($B$4+A69),$I$11:$I$33,1)))/(INDEX($I$11:$I$33,MATCH(($B$4+A69),$I$11:$I$33,1)+1)-INDEX($I$11:$I$33,MATCH(($B$4+A69),$I$11:$I$33,1))))))-(IF(($B$4+A69)&lt;=$L$11,$M$11,IF(($B$4+A69)&gt;=$L$12,$M$12,INDEX($M$11:$M$12,MATCH(($B$4+A69),$L$11:$L$12,1))+(INDEX($M$11:$M$12,MATCH(($B$4+A69),$L$11:$L$12,1)+1)-INDEX($M$11:$M$12,MATCH(($B$4+A69),$L$11:$L$12,1)))*(($B$4+A69)-INDEX($L$11:$L$12,MATCH(($B$4+A69),$L$11:$L$12,1)))/(INDEX($L$11:$L$12,MATCH(($B$4+A69),$L$11:$L$12,1)+1)-INDEX($L$11:$L$12,MATCH(($B$4+A69),$L$11:$L$12,1)))))))/(1-(IF(($B$4+A69)&lt;=$I$11,$J$11,IF(($B$4+A69)&gt;=$I$33,$J$33,INDEX($J$11:$J$33,MATCH(($B$4+A69),$I$11:$I$33,1))+(INDEX($J$11:$J$33,MATCH(($B$4+A69),$I$11:$I$33,1)+1)-INDEX($J$11:$J$33,MATCH(($B$4+A69),$I$11:$I$33,1)))*(($B$4+A69)-INDEX($I$11:$I$33,MATCH(($B$4+A69),$I$11:$I$33,1)))/(INDEX($I$11:$I$33,MATCH(($B$4+A69),$I$11:$I$33,1)+1)-INDEX($I$11:$I$33,MATCH(($B$4+A69),$I$11:$I$33,1))))))),1)</f>
        <v>1</v>
      </c>
      <c r="D69" s="43" t="n">
        <f aca="false">B69*(1+$B$30)^(-A69)</f>
        <v>0.735634868372028</v>
      </c>
      <c r="E69" s="43" t="n">
        <f aca="false">B69*C69*(1+$B$5)^(-A69)</f>
        <v>1</v>
      </c>
      <c r="G69" s="32" t="n">
        <f aca="false">$B$31+0.125+9*0.25</f>
        <v>64.815</v>
      </c>
      <c r="H69" s="27" t="n">
        <f aca="false">IF(G69&lt;$B$33,1,0)</f>
        <v>1</v>
      </c>
      <c r="I69" s="43" t="n">
        <f aca="false">H69*(1-$B$6)^(G69-$B$31)*(1+$B$30)^(-G69)</f>
        <v>0.447219843314353</v>
      </c>
      <c r="J69" s="43" t="n">
        <f aca="false">H69*(1-$B$6)^(G69-$B$31)*L69*(1+$B$5)^(-G69)</f>
        <v>0.976413076828488</v>
      </c>
      <c r="L69" s="43" t="n">
        <f aca="false">IF($B$7="Oui",1-(IF(($B$4+G69)&lt;=$L$11,$M$11,IF(($B$4+G69)&gt;=$L$12,$M$12,INDEX($M$11:$M$12,MATCH(($B$4+G69),$L$11:$L$12,1))+(INDEX($M$11:$M$12,MATCH(($B$4+G69),$L$11:$L$12,1)+1)-INDEX($M$11:$M$12,MATCH(($B$4+G69),$L$11:$L$12,1)))*(($B$4+G69)-INDEX($L$11:$L$12,MATCH(($B$4+G69),$L$11:$L$12,1)))/(INDEX($L$11:$L$12,MATCH(($B$4+G69),$L$11:$L$12,1)+1)-INDEX($L$11:$L$12,MATCH(($B$4+G69),$L$11:$L$12,1)))))),1)</f>
        <v>1</v>
      </c>
    </row>
    <row r="70" customFormat="false" ht="15" hidden="false" customHeight="false" outlineLevel="0" collapsed="false">
      <c r="A70" s="32" t="n">
        <f aca="false">$B$32+0.125+10*0.25</f>
        <v>25.735</v>
      </c>
      <c r="B70" s="27" t="n">
        <f aca="false">IF(A70&lt;$B$31,1,0)</f>
        <v>1</v>
      </c>
      <c r="C70" s="43" t="n">
        <f aca="false">IF($B$7="Oui",1+((IF(($B$4+A70)&lt;=$I$11,$J$11,IF(($B$4+A70)&gt;=$I$33,$J$33,INDEX($J$11:$J$33,MATCH(($B$4+A70),$I$11:$I$33,1))+(INDEX($J$11:$J$33,MATCH(($B$4+A70),$I$11:$I$33,1)+1)-INDEX($J$11:$J$33,MATCH(($B$4+A70),$I$11:$I$33,1)))*(($B$4+A70)-INDEX($I$11:$I$33,MATCH(($B$4+A70),$I$11:$I$33,1)))/(INDEX($I$11:$I$33,MATCH(($B$4+A70),$I$11:$I$33,1)+1)-INDEX($I$11:$I$33,MATCH(($B$4+A70),$I$11:$I$33,1))))))-(IF(($B$4+A70)&lt;=$L$11,$M$11,IF(($B$4+A70)&gt;=$L$12,$M$12,INDEX($M$11:$M$12,MATCH(($B$4+A70),$L$11:$L$12,1))+(INDEX($M$11:$M$12,MATCH(($B$4+A70),$L$11:$L$12,1)+1)-INDEX($M$11:$M$12,MATCH(($B$4+A70),$L$11:$L$12,1)))*(($B$4+A70)-INDEX($L$11:$L$12,MATCH(($B$4+A70),$L$11:$L$12,1)))/(INDEX($L$11:$L$12,MATCH(($B$4+A70),$L$11:$L$12,1)+1)-INDEX($L$11:$L$12,MATCH(($B$4+A70),$L$11:$L$12,1)))))))/(1-(IF(($B$4+A70)&lt;=$I$11,$J$11,IF(($B$4+A70)&gt;=$I$33,$J$33,INDEX($J$11:$J$33,MATCH(($B$4+A70),$I$11:$I$33,1))+(INDEX($J$11:$J$33,MATCH(($B$4+A70),$I$11:$I$33,1)+1)-INDEX($J$11:$J$33,MATCH(($B$4+A70),$I$11:$I$33,1)))*(($B$4+A70)-INDEX($I$11:$I$33,MATCH(($B$4+A70),$I$11:$I$33,1)))/(INDEX($I$11:$I$33,MATCH(($B$4+A70),$I$11:$I$33,1)+1)-INDEX($I$11:$I$33,MATCH(($B$4+A70),$I$11:$I$33,1))))))),1)</f>
        <v>1</v>
      </c>
      <c r="D70" s="43" t="n">
        <f aca="false">B70*(1+$B$30)^(-A70)</f>
        <v>0.733422627212373</v>
      </c>
      <c r="E70" s="43" t="n">
        <f aca="false">B70*C70*(1+$B$5)^(-A70)</f>
        <v>1</v>
      </c>
      <c r="G70" s="32" t="n">
        <f aca="false">$B$31+0.125+10*0.25</f>
        <v>65.065</v>
      </c>
      <c r="H70" s="27" t="n">
        <f aca="false">IF(G70&lt;$B$33,1,0)</f>
        <v>1</v>
      </c>
      <c r="I70" s="43" t="n">
        <f aca="false">H70*(1-$B$6)^(G70-$B$31)*(1+$B$30)^(-G70)</f>
        <v>0.444756047515103</v>
      </c>
      <c r="J70" s="43" t="n">
        <f aca="false">H70*(1-$B$6)^(G70-$B$31)*L70*(1+$B$5)^(-G70)</f>
        <v>0.973962836496347</v>
      </c>
      <c r="L70" s="43" t="n">
        <f aca="false">IF($B$7="Oui",1-(IF(($B$4+G70)&lt;=$L$11,$M$11,IF(($B$4+G70)&gt;=$L$12,$M$12,INDEX($M$11:$M$12,MATCH(($B$4+G70),$L$11:$L$12,1))+(INDEX($M$11:$M$12,MATCH(($B$4+G70),$L$11:$L$12,1)+1)-INDEX($M$11:$M$12,MATCH(($B$4+G70),$L$11:$L$12,1)))*(($B$4+G70)-INDEX($L$11:$L$12,MATCH(($B$4+G70),$L$11:$L$12,1)))/(INDEX($L$11:$L$12,MATCH(($B$4+G70),$L$11:$L$12,1)+1)-INDEX($L$11:$L$12,MATCH(($B$4+G70),$L$11:$L$12,1)))))),1)</f>
        <v>1</v>
      </c>
    </row>
    <row r="71" customFormat="false" ht="15" hidden="false" customHeight="false" outlineLevel="0" collapsed="false">
      <c r="A71" s="32" t="n">
        <f aca="false">$B$32+0.125+11*0.25</f>
        <v>25.985</v>
      </c>
      <c r="B71" s="27" t="n">
        <f aca="false">IF(A71&lt;$B$31,1,0)</f>
        <v>1</v>
      </c>
      <c r="C71" s="43" t="n">
        <f aca="false">IF($B$7="Oui",1+((IF(($B$4+A71)&lt;=$I$11,$J$11,IF(($B$4+A71)&gt;=$I$33,$J$33,INDEX($J$11:$J$33,MATCH(($B$4+A71),$I$11:$I$33,1))+(INDEX($J$11:$J$33,MATCH(($B$4+A71),$I$11:$I$33,1)+1)-INDEX($J$11:$J$33,MATCH(($B$4+A71),$I$11:$I$33,1)))*(($B$4+A71)-INDEX($I$11:$I$33,MATCH(($B$4+A71),$I$11:$I$33,1)))/(INDEX($I$11:$I$33,MATCH(($B$4+A71),$I$11:$I$33,1)+1)-INDEX($I$11:$I$33,MATCH(($B$4+A71),$I$11:$I$33,1))))))-(IF(($B$4+A71)&lt;=$L$11,$M$11,IF(($B$4+A71)&gt;=$L$12,$M$12,INDEX($M$11:$M$12,MATCH(($B$4+A71),$L$11:$L$12,1))+(INDEX($M$11:$M$12,MATCH(($B$4+A71),$L$11:$L$12,1)+1)-INDEX($M$11:$M$12,MATCH(($B$4+A71),$L$11:$L$12,1)))*(($B$4+A71)-INDEX($L$11:$L$12,MATCH(($B$4+A71),$L$11:$L$12,1)))/(INDEX($L$11:$L$12,MATCH(($B$4+A71),$L$11:$L$12,1)+1)-INDEX($L$11:$L$12,MATCH(($B$4+A71),$L$11:$L$12,1)))))))/(1-(IF(($B$4+A71)&lt;=$I$11,$J$11,IF(($B$4+A71)&gt;=$I$33,$J$33,INDEX($J$11:$J$33,MATCH(($B$4+A71),$I$11:$I$33,1))+(INDEX($J$11:$J$33,MATCH(($B$4+A71),$I$11:$I$33,1)+1)-INDEX($J$11:$J$33,MATCH(($B$4+A71),$I$11:$I$33,1)))*(($B$4+A71)-INDEX($I$11:$I$33,MATCH(($B$4+A71),$I$11:$I$33,1)))/(INDEX($I$11:$I$33,MATCH(($B$4+A71),$I$11:$I$33,1)+1)-INDEX($I$11:$I$33,MATCH(($B$4+A71),$I$11:$I$33,1))))))),1)</f>
        <v>1</v>
      </c>
      <c r="D71" s="43" t="n">
        <f aca="false">B71*(1+$B$30)^(-A71)</f>
        <v>0.731217038824574</v>
      </c>
      <c r="E71" s="43" t="n">
        <f aca="false">B71*C71*(1+$B$5)^(-A71)</f>
        <v>1</v>
      </c>
      <c r="G71" s="32" t="n">
        <f aca="false">$B$31+0.125+11*0.25</f>
        <v>65.315</v>
      </c>
      <c r="H71" s="27" t="n">
        <f aca="false">IF(G71&lt;$B$33,1,0)</f>
        <v>1</v>
      </c>
      <c r="I71" s="43" t="n">
        <f aca="false">H71*(1-$B$6)^(G71-$B$31)*(1+$B$30)^(-G71)</f>
        <v>0.442305825106727</v>
      </c>
      <c r="J71" s="43" t="n">
        <f aca="false">H71*(1-$B$6)^(G71-$B$31)*L71*(1+$B$5)^(-G71)</f>
        <v>0.971518744870966</v>
      </c>
      <c r="L71" s="43" t="n">
        <f aca="false">IF($B$7="Oui",1-(IF(($B$4+G71)&lt;=$L$11,$M$11,IF(($B$4+G71)&gt;=$L$12,$M$12,INDEX($M$11:$M$12,MATCH(($B$4+G71),$L$11:$L$12,1))+(INDEX($M$11:$M$12,MATCH(($B$4+G71),$L$11:$L$12,1)+1)-INDEX($M$11:$M$12,MATCH(($B$4+G71),$L$11:$L$12,1)))*(($B$4+G71)-INDEX($L$11:$L$12,MATCH(($B$4+G71),$L$11:$L$12,1)))/(INDEX($L$11:$L$12,MATCH(($B$4+G71),$L$11:$L$12,1)+1)-INDEX($L$11:$L$12,MATCH(($B$4+G71),$L$11:$L$12,1)))))),1)</f>
        <v>1</v>
      </c>
    </row>
    <row r="72" customFormat="false" ht="15" hidden="false" customHeight="false" outlineLevel="0" collapsed="false">
      <c r="A72" s="32" t="n">
        <f aca="false">$B$32+0.125+12*0.25</f>
        <v>26.235</v>
      </c>
      <c r="B72" s="27" t="n">
        <f aca="false">IF(A72&lt;$B$31,1,0)</f>
        <v>1</v>
      </c>
      <c r="C72" s="43" t="n">
        <f aca="false">IF($B$7="Oui",1+((IF(($B$4+A72)&lt;=$I$11,$J$11,IF(($B$4+A72)&gt;=$I$33,$J$33,INDEX($J$11:$J$33,MATCH(($B$4+A72),$I$11:$I$33,1))+(INDEX($J$11:$J$33,MATCH(($B$4+A72),$I$11:$I$33,1)+1)-INDEX($J$11:$J$33,MATCH(($B$4+A72),$I$11:$I$33,1)))*(($B$4+A72)-INDEX($I$11:$I$33,MATCH(($B$4+A72),$I$11:$I$33,1)))/(INDEX($I$11:$I$33,MATCH(($B$4+A72),$I$11:$I$33,1)+1)-INDEX($I$11:$I$33,MATCH(($B$4+A72),$I$11:$I$33,1))))))-(IF(($B$4+A72)&lt;=$L$11,$M$11,IF(($B$4+A72)&gt;=$L$12,$M$12,INDEX($M$11:$M$12,MATCH(($B$4+A72),$L$11:$L$12,1))+(INDEX($M$11:$M$12,MATCH(($B$4+A72),$L$11:$L$12,1)+1)-INDEX($M$11:$M$12,MATCH(($B$4+A72),$L$11:$L$12,1)))*(($B$4+A72)-INDEX($L$11:$L$12,MATCH(($B$4+A72),$L$11:$L$12,1)))/(INDEX($L$11:$L$12,MATCH(($B$4+A72),$L$11:$L$12,1)+1)-INDEX($L$11:$L$12,MATCH(($B$4+A72),$L$11:$L$12,1)))))))/(1-(IF(($B$4+A72)&lt;=$I$11,$J$11,IF(($B$4+A72)&gt;=$I$33,$J$33,INDEX($J$11:$J$33,MATCH(($B$4+A72),$I$11:$I$33,1))+(INDEX($J$11:$J$33,MATCH(($B$4+A72),$I$11:$I$33,1)+1)-INDEX($J$11:$J$33,MATCH(($B$4+A72),$I$11:$I$33,1)))*(($B$4+A72)-INDEX($I$11:$I$33,MATCH(($B$4+A72),$I$11:$I$33,1)))/(INDEX($I$11:$I$33,MATCH(($B$4+A72),$I$11:$I$33,1)+1)-INDEX($I$11:$I$33,MATCH(($B$4+A72),$I$11:$I$33,1))))))),1)</f>
        <v>1</v>
      </c>
      <c r="D72" s="43" t="n">
        <f aca="false">B72*(1+$B$30)^(-A72)</f>
        <v>0.729018083202053</v>
      </c>
      <c r="E72" s="43" t="n">
        <f aca="false">B72*C72*(1+$B$5)^(-A72)</f>
        <v>1</v>
      </c>
      <c r="G72" s="32" t="n">
        <f aca="false">$B$31+0.125+12*0.25</f>
        <v>65.565</v>
      </c>
      <c r="H72" s="27" t="n">
        <f aca="false">IF(G72&lt;$B$33,1,0)</f>
        <v>1</v>
      </c>
      <c r="I72" s="43" t="n">
        <f aca="false">H72*(1-$B$6)^(G72-$B$31)*(1+$B$30)^(-G72)</f>
        <v>0.439869101311544</v>
      </c>
      <c r="J72" s="43" t="n">
        <f aca="false">H72*(1-$B$6)^(G72-$B$31)*L72*(1+$B$5)^(-G72)</f>
        <v>0.969080786522595</v>
      </c>
      <c r="L72" s="43" t="n">
        <f aca="false">IF($B$7="Oui",1-(IF(($B$4+G72)&lt;=$L$11,$M$11,IF(($B$4+G72)&gt;=$L$12,$M$12,INDEX($M$11:$M$12,MATCH(($B$4+G72),$L$11:$L$12,1))+(INDEX($M$11:$M$12,MATCH(($B$4+G72),$L$11:$L$12,1)+1)-INDEX($M$11:$M$12,MATCH(($B$4+G72),$L$11:$L$12,1)))*(($B$4+G72)-INDEX($L$11:$L$12,MATCH(($B$4+G72),$L$11:$L$12,1)))/(INDEX($L$11:$L$12,MATCH(($B$4+G72),$L$11:$L$12,1)+1)-INDEX($L$11:$L$12,MATCH(($B$4+G72),$L$11:$L$12,1)))))),1)</f>
        <v>1</v>
      </c>
    </row>
    <row r="73" customFormat="false" ht="15" hidden="false" customHeight="false" outlineLevel="0" collapsed="false">
      <c r="A73" s="32" t="n">
        <f aca="false">$B$32+0.125+13*0.25</f>
        <v>26.485</v>
      </c>
      <c r="B73" s="27" t="n">
        <f aca="false">IF(A73&lt;$B$31,1,0)</f>
        <v>1</v>
      </c>
      <c r="C73" s="43" t="n">
        <f aca="false">IF($B$7="Oui",1+((IF(($B$4+A73)&lt;=$I$11,$J$11,IF(($B$4+A73)&gt;=$I$33,$J$33,INDEX($J$11:$J$33,MATCH(($B$4+A73),$I$11:$I$33,1))+(INDEX($J$11:$J$33,MATCH(($B$4+A73),$I$11:$I$33,1)+1)-INDEX($J$11:$J$33,MATCH(($B$4+A73),$I$11:$I$33,1)))*(($B$4+A73)-INDEX($I$11:$I$33,MATCH(($B$4+A73),$I$11:$I$33,1)))/(INDEX($I$11:$I$33,MATCH(($B$4+A73),$I$11:$I$33,1)+1)-INDEX($I$11:$I$33,MATCH(($B$4+A73),$I$11:$I$33,1))))))-(IF(($B$4+A73)&lt;=$L$11,$M$11,IF(($B$4+A73)&gt;=$L$12,$M$12,INDEX($M$11:$M$12,MATCH(($B$4+A73),$L$11:$L$12,1))+(INDEX($M$11:$M$12,MATCH(($B$4+A73),$L$11:$L$12,1)+1)-INDEX($M$11:$M$12,MATCH(($B$4+A73),$L$11:$L$12,1)))*(($B$4+A73)-INDEX($L$11:$L$12,MATCH(($B$4+A73),$L$11:$L$12,1)))/(INDEX($L$11:$L$12,MATCH(($B$4+A73),$L$11:$L$12,1)+1)-INDEX($L$11:$L$12,MATCH(($B$4+A73),$L$11:$L$12,1)))))))/(1-(IF(($B$4+A73)&lt;=$I$11,$J$11,IF(($B$4+A73)&gt;=$I$33,$J$33,INDEX($J$11:$J$33,MATCH(($B$4+A73),$I$11:$I$33,1))+(INDEX($J$11:$J$33,MATCH(($B$4+A73),$I$11:$I$33,1)+1)-INDEX($J$11:$J$33,MATCH(($B$4+A73),$I$11:$I$33,1)))*(($B$4+A73)-INDEX($I$11:$I$33,MATCH(($B$4+A73),$I$11:$I$33,1)))/(INDEX($I$11:$I$33,MATCH(($B$4+A73),$I$11:$I$33,1)+1)-INDEX($I$11:$I$33,MATCH(($B$4+A73),$I$11:$I$33,1))))))),1)</f>
        <v>1</v>
      </c>
      <c r="D73" s="43" t="n">
        <f aca="false">B73*(1+$B$30)^(-A73)</f>
        <v>0.726825740398399</v>
      </c>
      <c r="E73" s="43" t="n">
        <f aca="false">B73*C73*(1+$B$5)^(-A73)</f>
        <v>1</v>
      </c>
      <c r="G73" s="32" t="n">
        <f aca="false">$B$31+0.125+13*0.25</f>
        <v>65.815</v>
      </c>
      <c r="H73" s="27" t="n">
        <f aca="false">IF(G73&lt;$B$33,1,0)</f>
        <v>1</v>
      </c>
      <c r="I73" s="43" t="n">
        <f aca="false">H73*(1-$B$6)^(G73-$B$31)*(1+$B$30)^(-G73)</f>
        <v>0.437445801763832</v>
      </c>
      <c r="J73" s="43" t="n">
        <f aca="false">H73*(1-$B$6)^(G73-$B$31)*L73*(1+$B$5)^(-G73)</f>
        <v>0.966648946060203</v>
      </c>
      <c r="L73" s="43" t="n">
        <f aca="false">IF($B$7="Oui",1-(IF(($B$4+G73)&lt;=$L$11,$M$11,IF(($B$4+G73)&gt;=$L$12,$M$12,INDEX($M$11:$M$12,MATCH(($B$4+G73),$L$11:$L$12,1))+(INDEX($M$11:$M$12,MATCH(($B$4+G73),$L$11:$L$12,1)+1)-INDEX($M$11:$M$12,MATCH(($B$4+G73),$L$11:$L$12,1)))*(($B$4+G73)-INDEX($L$11:$L$12,MATCH(($B$4+G73),$L$11:$L$12,1)))/(INDEX($L$11:$L$12,MATCH(($B$4+G73),$L$11:$L$12,1)+1)-INDEX($L$11:$L$12,MATCH(($B$4+G73),$L$11:$L$12,1)))))),1)</f>
        <v>1</v>
      </c>
    </row>
    <row r="74" customFormat="false" ht="15" hidden="false" customHeight="false" outlineLevel="0" collapsed="false">
      <c r="A74" s="32" t="n">
        <f aca="false">$B$32+0.125+14*0.25</f>
        <v>26.735</v>
      </c>
      <c r="B74" s="27" t="n">
        <f aca="false">IF(A74&lt;$B$31,1,0)</f>
        <v>1</v>
      </c>
      <c r="C74" s="43" t="n">
        <f aca="false">IF($B$7="Oui",1+((IF(($B$4+A74)&lt;=$I$11,$J$11,IF(($B$4+A74)&gt;=$I$33,$J$33,INDEX($J$11:$J$33,MATCH(($B$4+A74),$I$11:$I$33,1))+(INDEX($J$11:$J$33,MATCH(($B$4+A74),$I$11:$I$33,1)+1)-INDEX($J$11:$J$33,MATCH(($B$4+A74),$I$11:$I$33,1)))*(($B$4+A74)-INDEX($I$11:$I$33,MATCH(($B$4+A74),$I$11:$I$33,1)))/(INDEX($I$11:$I$33,MATCH(($B$4+A74),$I$11:$I$33,1)+1)-INDEX($I$11:$I$33,MATCH(($B$4+A74),$I$11:$I$33,1))))))-(IF(($B$4+A74)&lt;=$L$11,$M$11,IF(($B$4+A74)&gt;=$L$12,$M$12,INDEX($M$11:$M$12,MATCH(($B$4+A74),$L$11:$L$12,1))+(INDEX($M$11:$M$12,MATCH(($B$4+A74),$L$11:$L$12,1)+1)-INDEX($M$11:$M$12,MATCH(($B$4+A74),$L$11:$L$12,1)))*(($B$4+A74)-INDEX($L$11:$L$12,MATCH(($B$4+A74),$L$11:$L$12,1)))/(INDEX($L$11:$L$12,MATCH(($B$4+A74),$L$11:$L$12,1)+1)-INDEX($L$11:$L$12,MATCH(($B$4+A74),$L$11:$L$12,1)))))))/(1-(IF(($B$4+A74)&lt;=$I$11,$J$11,IF(($B$4+A74)&gt;=$I$33,$J$33,INDEX($J$11:$J$33,MATCH(($B$4+A74),$I$11:$I$33,1))+(INDEX($J$11:$J$33,MATCH(($B$4+A74),$I$11:$I$33,1)+1)-INDEX($J$11:$J$33,MATCH(($B$4+A74),$I$11:$I$33,1)))*(($B$4+A74)-INDEX($I$11:$I$33,MATCH(($B$4+A74),$I$11:$I$33,1)))/(INDEX($I$11:$I$33,MATCH(($B$4+A74),$I$11:$I$33,1)+1)-INDEX($I$11:$I$33,MATCH(($B$4+A74),$I$11:$I$33,1))))))),1)</f>
        <v>1</v>
      </c>
      <c r="D74" s="43" t="n">
        <f aca="false">B74*(1+$B$30)^(-A74)</f>
        <v>0.724639990527183</v>
      </c>
      <c r="E74" s="43" t="n">
        <f aca="false">B74*C74*(1+$B$5)^(-A74)</f>
        <v>1</v>
      </c>
      <c r="G74" s="32" t="n">
        <f aca="false">$B$31+0.125+14*0.25</f>
        <v>66.065</v>
      </c>
      <c r="H74" s="27" t="n">
        <f aca="false">IF(G74&lt;$B$33,1,0)</f>
        <v>1</v>
      </c>
      <c r="I74" s="43" t="n">
        <f aca="false">H74*(1-$B$6)^(G74-$B$31)*(1+$B$30)^(-G74)</f>
        <v>0.43503585250756</v>
      </c>
      <c r="J74" s="43" t="n">
        <f aca="false">H74*(1-$B$6)^(G74-$B$31)*L74*(1+$B$5)^(-G74)</f>
        <v>0.964223208131384</v>
      </c>
      <c r="L74" s="43" t="n">
        <f aca="false">IF($B$7="Oui",1-(IF(($B$4+G74)&lt;=$L$11,$M$11,IF(($B$4+G74)&gt;=$L$12,$M$12,INDEX($M$11:$M$12,MATCH(($B$4+G74),$L$11:$L$12,1))+(INDEX($M$11:$M$12,MATCH(($B$4+G74),$L$11:$L$12,1)+1)-INDEX($M$11:$M$12,MATCH(($B$4+G74),$L$11:$L$12,1)))*(($B$4+G74)-INDEX($L$11:$L$12,MATCH(($B$4+G74),$L$11:$L$12,1)))/(INDEX($L$11:$L$12,MATCH(($B$4+G74),$L$11:$L$12,1)+1)-INDEX($L$11:$L$12,MATCH(($B$4+G74),$L$11:$L$12,1)))))),1)</f>
        <v>1</v>
      </c>
    </row>
    <row r="75" customFormat="false" ht="15" hidden="false" customHeight="false" outlineLevel="0" collapsed="false">
      <c r="A75" s="32" t="n">
        <f aca="false">$B$32+0.125+15*0.25</f>
        <v>26.985</v>
      </c>
      <c r="B75" s="27" t="n">
        <f aca="false">IF(A75&lt;$B$31,1,0)</f>
        <v>1</v>
      </c>
      <c r="C75" s="43" t="n">
        <f aca="false">IF($B$7="Oui",1+((IF(($B$4+A75)&lt;=$I$11,$J$11,IF(($B$4+A75)&gt;=$I$33,$J$33,INDEX($J$11:$J$33,MATCH(($B$4+A75),$I$11:$I$33,1))+(INDEX($J$11:$J$33,MATCH(($B$4+A75),$I$11:$I$33,1)+1)-INDEX($J$11:$J$33,MATCH(($B$4+A75),$I$11:$I$33,1)))*(($B$4+A75)-INDEX($I$11:$I$33,MATCH(($B$4+A75),$I$11:$I$33,1)))/(INDEX($I$11:$I$33,MATCH(($B$4+A75),$I$11:$I$33,1)+1)-INDEX($I$11:$I$33,MATCH(($B$4+A75),$I$11:$I$33,1))))))-(IF(($B$4+A75)&lt;=$L$11,$M$11,IF(($B$4+A75)&gt;=$L$12,$M$12,INDEX($M$11:$M$12,MATCH(($B$4+A75),$L$11:$L$12,1))+(INDEX($M$11:$M$12,MATCH(($B$4+A75),$L$11:$L$12,1)+1)-INDEX($M$11:$M$12,MATCH(($B$4+A75),$L$11:$L$12,1)))*(($B$4+A75)-INDEX($L$11:$L$12,MATCH(($B$4+A75),$L$11:$L$12,1)))/(INDEX($L$11:$L$12,MATCH(($B$4+A75),$L$11:$L$12,1)+1)-INDEX($L$11:$L$12,MATCH(($B$4+A75),$L$11:$L$12,1)))))))/(1-(IF(($B$4+A75)&lt;=$I$11,$J$11,IF(($B$4+A75)&gt;=$I$33,$J$33,INDEX($J$11:$J$33,MATCH(($B$4+A75),$I$11:$I$33,1))+(INDEX($J$11:$J$33,MATCH(($B$4+A75),$I$11:$I$33,1)+1)-INDEX($J$11:$J$33,MATCH(($B$4+A75),$I$11:$I$33,1)))*(($B$4+A75)-INDEX($I$11:$I$33,MATCH(($B$4+A75),$I$11:$I$33,1)))/(INDEX($I$11:$I$33,MATCH(($B$4+A75),$I$11:$I$33,1)+1)-INDEX($I$11:$I$33,MATCH(($B$4+A75),$I$11:$I$33,1))))))),1)</f>
        <v>1</v>
      </c>
      <c r="D75" s="43" t="n">
        <f aca="false">B75*(1+$B$30)^(-A75)</f>
        <v>0.722460813761781</v>
      </c>
      <c r="E75" s="43" t="n">
        <f aca="false">B75*C75*(1+$B$5)^(-A75)</f>
        <v>1</v>
      </c>
      <c r="G75" s="32" t="n">
        <f aca="false">$B$31+0.125+15*0.25</f>
        <v>66.315</v>
      </c>
      <c r="H75" s="27" t="n">
        <f aca="false">IF(G75&lt;$B$33,1,0)</f>
        <v>1</v>
      </c>
      <c r="I75" s="43" t="n">
        <f aca="false">H75*(1-$B$6)^(G75-$B$31)*(1+$B$30)^(-G75)</f>
        <v>0.432639179994131</v>
      </c>
      <c r="J75" s="43" t="n">
        <f aca="false">H75*(1-$B$6)^(G75-$B$31)*L75*(1+$B$5)^(-G75)</f>
        <v>0.961803557422257</v>
      </c>
      <c r="L75" s="43" t="n">
        <f aca="false">IF($B$7="Oui",1-(IF(($B$4+G75)&lt;=$L$11,$M$11,IF(($B$4+G75)&gt;=$L$12,$M$12,INDEX($M$11:$M$12,MATCH(($B$4+G75),$L$11:$L$12,1))+(INDEX($M$11:$M$12,MATCH(($B$4+G75),$L$11:$L$12,1)+1)-INDEX($M$11:$M$12,MATCH(($B$4+G75),$L$11:$L$12,1)))*(($B$4+G75)-INDEX($L$11:$L$12,MATCH(($B$4+G75),$L$11:$L$12,1)))/(INDEX($L$11:$L$12,MATCH(($B$4+G75),$L$11:$L$12,1)+1)-INDEX($L$11:$L$12,MATCH(($B$4+G75),$L$11:$L$12,1)))))),1)</f>
        <v>1</v>
      </c>
    </row>
    <row r="76" customFormat="false" ht="15" hidden="false" customHeight="false" outlineLevel="0" collapsed="false">
      <c r="A76" s="32" t="n">
        <f aca="false">$B$32+0.125+16*0.25</f>
        <v>27.235</v>
      </c>
      <c r="B76" s="27" t="n">
        <f aca="false">IF(A76&lt;$B$31,1,0)</f>
        <v>1</v>
      </c>
      <c r="C76" s="43" t="n">
        <f aca="false">IF($B$7="Oui",1+((IF(($B$4+A76)&lt;=$I$11,$J$11,IF(($B$4+A76)&gt;=$I$33,$J$33,INDEX($J$11:$J$33,MATCH(($B$4+A76),$I$11:$I$33,1))+(INDEX($J$11:$J$33,MATCH(($B$4+A76),$I$11:$I$33,1)+1)-INDEX($J$11:$J$33,MATCH(($B$4+A76),$I$11:$I$33,1)))*(($B$4+A76)-INDEX($I$11:$I$33,MATCH(($B$4+A76),$I$11:$I$33,1)))/(INDEX($I$11:$I$33,MATCH(($B$4+A76),$I$11:$I$33,1)+1)-INDEX($I$11:$I$33,MATCH(($B$4+A76),$I$11:$I$33,1))))))-(IF(($B$4+A76)&lt;=$L$11,$M$11,IF(($B$4+A76)&gt;=$L$12,$M$12,INDEX($M$11:$M$12,MATCH(($B$4+A76),$L$11:$L$12,1))+(INDEX($M$11:$M$12,MATCH(($B$4+A76),$L$11:$L$12,1)+1)-INDEX($M$11:$M$12,MATCH(($B$4+A76),$L$11:$L$12,1)))*(($B$4+A76)-INDEX($L$11:$L$12,MATCH(($B$4+A76),$L$11:$L$12,1)))/(INDEX($L$11:$L$12,MATCH(($B$4+A76),$L$11:$L$12,1)+1)-INDEX($L$11:$L$12,MATCH(($B$4+A76),$L$11:$L$12,1)))))))/(1-(IF(($B$4+A76)&lt;=$I$11,$J$11,IF(($B$4+A76)&gt;=$I$33,$J$33,INDEX($J$11:$J$33,MATCH(($B$4+A76),$I$11:$I$33,1))+(INDEX($J$11:$J$33,MATCH(($B$4+A76),$I$11:$I$33,1)+1)-INDEX($J$11:$J$33,MATCH(($B$4+A76),$I$11:$I$33,1)))*(($B$4+A76)-INDEX($I$11:$I$33,MATCH(($B$4+A76),$I$11:$I$33,1)))/(INDEX($I$11:$I$33,MATCH(($B$4+A76),$I$11:$I$33,1)+1)-INDEX($I$11:$I$33,MATCH(($B$4+A76),$I$11:$I$33,1))))))),1)</f>
        <v>1</v>
      </c>
      <c r="D76" s="43" t="n">
        <f aca="false">B76*(1+$B$30)^(-A76)</f>
        <v>0.720288190335191</v>
      </c>
      <c r="E76" s="43" t="n">
        <f aca="false">B76*C76*(1+$B$5)^(-A76)</f>
        <v>1</v>
      </c>
      <c r="G76" s="32" t="n">
        <f aca="false">$B$31+0.125+16*0.25</f>
        <v>66.565</v>
      </c>
      <c r="H76" s="27" t="n">
        <f aca="false">IF(G76&lt;$B$33,1,0)</f>
        <v>1</v>
      </c>
      <c r="I76" s="43" t="n">
        <f aca="false">H76*(1-$B$6)^(G76-$B$31)*(1+$B$30)^(-G76)</f>
        <v>0.430255711080138</v>
      </c>
      <c r="J76" s="43" t="n">
        <f aca="false">H76*(1-$B$6)^(G76-$B$31)*L76*(1+$B$5)^(-G76)</f>
        <v>0.959389978657369</v>
      </c>
      <c r="L76" s="43" t="n">
        <f aca="false">IF($B$7="Oui",1-(IF(($B$4+G76)&lt;=$L$11,$M$11,IF(($B$4+G76)&gt;=$L$12,$M$12,INDEX($M$11:$M$12,MATCH(($B$4+G76),$L$11:$L$12,1))+(INDEX($M$11:$M$12,MATCH(($B$4+G76),$L$11:$L$12,1)+1)-INDEX($M$11:$M$12,MATCH(($B$4+G76),$L$11:$L$12,1)))*(($B$4+G76)-INDEX($L$11:$L$12,MATCH(($B$4+G76),$L$11:$L$12,1)))/(INDEX($L$11:$L$12,MATCH(($B$4+G76),$L$11:$L$12,1)+1)-INDEX($L$11:$L$12,MATCH(($B$4+G76),$L$11:$L$12,1)))))),1)</f>
        <v>1</v>
      </c>
    </row>
    <row r="77" customFormat="false" ht="15" hidden="false" customHeight="false" outlineLevel="0" collapsed="false">
      <c r="A77" s="32" t="n">
        <f aca="false">$B$32+0.125+17*0.25</f>
        <v>27.485</v>
      </c>
      <c r="B77" s="27" t="n">
        <f aca="false">IF(A77&lt;$B$31,1,0)</f>
        <v>1</v>
      </c>
      <c r="C77" s="43" t="n">
        <f aca="false">IF($B$7="Oui",1+((IF(($B$4+A77)&lt;=$I$11,$J$11,IF(($B$4+A77)&gt;=$I$33,$J$33,INDEX($J$11:$J$33,MATCH(($B$4+A77),$I$11:$I$33,1))+(INDEX($J$11:$J$33,MATCH(($B$4+A77),$I$11:$I$33,1)+1)-INDEX($J$11:$J$33,MATCH(($B$4+A77),$I$11:$I$33,1)))*(($B$4+A77)-INDEX($I$11:$I$33,MATCH(($B$4+A77),$I$11:$I$33,1)))/(INDEX($I$11:$I$33,MATCH(($B$4+A77),$I$11:$I$33,1)+1)-INDEX($I$11:$I$33,MATCH(($B$4+A77),$I$11:$I$33,1))))))-(IF(($B$4+A77)&lt;=$L$11,$M$11,IF(($B$4+A77)&gt;=$L$12,$M$12,INDEX($M$11:$M$12,MATCH(($B$4+A77),$L$11:$L$12,1))+(INDEX($M$11:$M$12,MATCH(($B$4+A77),$L$11:$L$12,1)+1)-INDEX($M$11:$M$12,MATCH(($B$4+A77),$L$11:$L$12,1)))*(($B$4+A77)-INDEX($L$11:$L$12,MATCH(($B$4+A77),$L$11:$L$12,1)))/(INDEX($L$11:$L$12,MATCH(($B$4+A77),$L$11:$L$12,1)+1)-INDEX($L$11:$L$12,MATCH(($B$4+A77),$L$11:$L$12,1)))))))/(1-(IF(($B$4+A77)&lt;=$I$11,$J$11,IF(($B$4+A77)&gt;=$I$33,$J$33,INDEX($J$11:$J$33,MATCH(($B$4+A77),$I$11:$I$33,1))+(INDEX($J$11:$J$33,MATCH(($B$4+A77),$I$11:$I$33,1)+1)-INDEX($J$11:$J$33,MATCH(($B$4+A77),$I$11:$I$33,1)))*(($B$4+A77)-INDEX($I$11:$I$33,MATCH(($B$4+A77),$I$11:$I$33,1)))/(INDEX($I$11:$I$33,MATCH(($B$4+A77),$I$11:$I$33,1)+1)-INDEX($I$11:$I$33,MATCH(($B$4+A77),$I$11:$I$33,1))))))),1)</f>
        <v>1</v>
      </c>
      <c r="D77" s="43" t="n">
        <f aca="false">B77*(1+$B$30)^(-A77)</f>
        <v>0.718122100539856</v>
      </c>
      <c r="E77" s="43" t="n">
        <f aca="false">B77*C77*(1+$B$5)^(-A77)</f>
        <v>1</v>
      </c>
      <c r="G77" s="32" t="n">
        <f aca="false">$B$31+0.125+17*0.25</f>
        <v>66.815</v>
      </c>
      <c r="H77" s="27" t="n">
        <f aca="false">IF(G77&lt;$B$33,1,0)</f>
        <v>1</v>
      </c>
      <c r="I77" s="43" t="n">
        <f aca="false">H77*(1-$B$6)^(G77-$B$31)*(1+$B$30)^(-G77)</f>
        <v>0.427885373025129</v>
      </c>
      <c r="J77" s="43" t="n">
        <f aca="false">H77*(1-$B$6)^(G77-$B$31)*L77*(1+$B$5)^(-G77)</f>
        <v>0.956982456599601</v>
      </c>
      <c r="L77" s="43" t="n">
        <f aca="false">IF($B$7="Oui",1-(IF(($B$4+G77)&lt;=$L$11,$M$11,IF(($B$4+G77)&gt;=$L$12,$M$12,INDEX($M$11:$M$12,MATCH(($B$4+G77),$L$11:$L$12,1))+(INDEX($M$11:$M$12,MATCH(($B$4+G77),$L$11:$L$12,1)+1)-INDEX($M$11:$M$12,MATCH(($B$4+G77),$L$11:$L$12,1)))*(($B$4+G77)-INDEX($L$11:$L$12,MATCH(($B$4+G77),$L$11:$L$12,1)))/(INDEX($L$11:$L$12,MATCH(($B$4+G77),$L$11:$L$12,1)+1)-INDEX($L$11:$L$12,MATCH(($B$4+G77),$L$11:$L$12,1)))))),1)</f>
        <v>1</v>
      </c>
    </row>
    <row r="78" customFormat="false" ht="15" hidden="false" customHeight="false" outlineLevel="0" collapsed="false">
      <c r="A78" s="32" t="n">
        <f aca="false">$B$32+0.125+18*0.25</f>
        <v>27.735</v>
      </c>
      <c r="B78" s="27" t="n">
        <f aca="false">IF(A78&lt;$B$31,1,0)</f>
        <v>1</v>
      </c>
      <c r="C78" s="43" t="n">
        <f aca="false">IF($B$7="Oui",1+((IF(($B$4+A78)&lt;=$I$11,$J$11,IF(($B$4+A78)&gt;=$I$33,$J$33,INDEX($J$11:$J$33,MATCH(($B$4+A78),$I$11:$I$33,1))+(INDEX($J$11:$J$33,MATCH(($B$4+A78),$I$11:$I$33,1)+1)-INDEX($J$11:$J$33,MATCH(($B$4+A78),$I$11:$I$33,1)))*(($B$4+A78)-INDEX($I$11:$I$33,MATCH(($B$4+A78),$I$11:$I$33,1)))/(INDEX($I$11:$I$33,MATCH(($B$4+A78),$I$11:$I$33,1)+1)-INDEX($I$11:$I$33,MATCH(($B$4+A78),$I$11:$I$33,1))))))-(IF(($B$4+A78)&lt;=$L$11,$M$11,IF(($B$4+A78)&gt;=$L$12,$M$12,INDEX($M$11:$M$12,MATCH(($B$4+A78),$L$11:$L$12,1))+(INDEX($M$11:$M$12,MATCH(($B$4+A78),$L$11:$L$12,1)+1)-INDEX($M$11:$M$12,MATCH(($B$4+A78),$L$11:$L$12,1)))*(($B$4+A78)-INDEX($L$11:$L$12,MATCH(($B$4+A78),$L$11:$L$12,1)))/(INDEX($L$11:$L$12,MATCH(($B$4+A78),$L$11:$L$12,1)+1)-INDEX($L$11:$L$12,MATCH(($B$4+A78),$L$11:$L$12,1)))))))/(1-(IF(($B$4+A78)&lt;=$I$11,$J$11,IF(($B$4+A78)&gt;=$I$33,$J$33,INDEX($J$11:$J$33,MATCH(($B$4+A78),$I$11:$I$33,1))+(INDEX($J$11:$J$33,MATCH(($B$4+A78),$I$11:$I$33,1)+1)-INDEX($J$11:$J$33,MATCH(($B$4+A78),$I$11:$I$33,1)))*(($B$4+A78)-INDEX($I$11:$I$33,MATCH(($B$4+A78),$I$11:$I$33,1)))/(INDEX($I$11:$I$33,MATCH(($B$4+A78),$I$11:$I$33,1)+1)-INDEX($I$11:$I$33,MATCH(($B$4+A78),$I$11:$I$33,1))))))),1)</f>
        <v>1</v>
      </c>
      <c r="D78" s="43" t="n">
        <f aca="false">B78*(1+$B$30)^(-A78)</f>
        <v>0.715962524727486</v>
      </c>
      <c r="E78" s="43" t="n">
        <f aca="false">B78*C78*(1+$B$5)^(-A78)</f>
        <v>1</v>
      </c>
      <c r="G78" s="32" t="n">
        <f aca="false">$B$31+0.125+18*0.25</f>
        <v>67.065</v>
      </c>
      <c r="H78" s="27" t="n">
        <f aca="false">IF(G78&lt;$B$33,1,0)</f>
        <v>1</v>
      </c>
      <c r="I78" s="43" t="n">
        <f aca="false">H78*(1-$B$6)^(G78-$B$31)*(1+$B$30)^(-G78)</f>
        <v>0.425528093489393</v>
      </c>
      <c r="J78" s="43" t="n">
        <f aca="false">H78*(1-$B$6)^(G78-$B$31)*L78*(1+$B$5)^(-G78)</f>
        <v>0.95458097605007</v>
      </c>
      <c r="L78" s="43" t="n">
        <f aca="false">IF($B$7="Oui",1-(IF(($B$4+G78)&lt;=$L$11,$M$11,IF(($B$4+G78)&gt;=$L$12,$M$12,INDEX($M$11:$M$12,MATCH(($B$4+G78),$L$11:$L$12,1))+(INDEX($M$11:$M$12,MATCH(($B$4+G78),$L$11:$L$12,1)+1)-INDEX($M$11:$M$12,MATCH(($B$4+G78),$L$11:$L$12,1)))*(($B$4+G78)-INDEX($L$11:$L$12,MATCH(($B$4+G78),$L$11:$L$12,1)))/(INDEX($L$11:$L$12,MATCH(($B$4+G78),$L$11:$L$12,1)+1)-INDEX($L$11:$L$12,MATCH(($B$4+G78),$L$11:$L$12,1)))))),1)</f>
        <v>1</v>
      </c>
    </row>
    <row r="79" customFormat="false" ht="15" hidden="false" customHeight="false" outlineLevel="0" collapsed="false">
      <c r="A79" s="32" t="n">
        <f aca="false">$B$32+0.125+19*0.25</f>
        <v>27.985</v>
      </c>
      <c r="B79" s="27" t="n">
        <f aca="false">IF(A79&lt;$B$31,1,0)</f>
        <v>1</v>
      </c>
      <c r="C79" s="43" t="n">
        <f aca="false">IF($B$7="Oui",1+((IF(($B$4+A79)&lt;=$I$11,$J$11,IF(($B$4+A79)&gt;=$I$33,$J$33,INDEX($J$11:$J$33,MATCH(($B$4+A79),$I$11:$I$33,1))+(INDEX($J$11:$J$33,MATCH(($B$4+A79),$I$11:$I$33,1)+1)-INDEX($J$11:$J$33,MATCH(($B$4+A79),$I$11:$I$33,1)))*(($B$4+A79)-INDEX($I$11:$I$33,MATCH(($B$4+A79),$I$11:$I$33,1)))/(INDEX($I$11:$I$33,MATCH(($B$4+A79),$I$11:$I$33,1)+1)-INDEX($I$11:$I$33,MATCH(($B$4+A79),$I$11:$I$33,1))))))-(IF(($B$4+A79)&lt;=$L$11,$M$11,IF(($B$4+A79)&gt;=$L$12,$M$12,INDEX($M$11:$M$12,MATCH(($B$4+A79),$L$11:$L$12,1))+(INDEX($M$11:$M$12,MATCH(($B$4+A79),$L$11:$L$12,1)+1)-INDEX($M$11:$M$12,MATCH(($B$4+A79),$L$11:$L$12,1)))*(($B$4+A79)-INDEX($L$11:$L$12,MATCH(($B$4+A79),$L$11:$L$12,1)))/(INDEX($L$11:$L$12,MATCH(($B$4+A79),$L$11:$L$12,1)+1)-INDEX($L$11:$L$12,MATCH(($B$4+A79),$L$11:$L$12,1)))))))/(1-(IF(($B$4+A79)&lt;=$I$11,$J$11,IF(($B$4+A79)&gt;=$I$33,$J$33,INDEX($J$11:$J$33,MATCH(($B$4+A79),$I$11:$I$33,1))+(INDEX($J$11:$J$33,MATCH(($B$4+A79),$I$11:$I$33,1)+1)-INDEX($J$11:$J$33,MATCH(($B$4+A79),$I$11:$I$33,1)))*(($B$4+A79)-INDEX($I$11:$I$33,MATCH(($B$4+A79),$I$11:$I$33,1)))/(INDEX($I$11:$I$33,MATCH(($B$4+A79),$I$11:$I$33,1)+1)-INDEX($I$11:$I$33,MATCH(($B$4+A79),$I$11:$I$33,1))))))),1)</f>
        <v>1</v>
      </c>
      <c r="D79" s="43" t="n">
        <f aca="false">B79*(1+$B$30)^(-A79)</f>
        <v>0.713809443308877</v>
      </c>
      <c r="E79" s="43" t="n">
        <f aca="false">B79*C79*(1+$B$5)^(-A79)</f>
        <v>1</v>
      </c>
      <c r="G79" s="32" t="n">
        <f aca="false">$B$31+0.125+19*0.25</f>
        <v>67.315</v>
      </c>
      <c r="H79" s="27" t="n">
        <f aca="false">IF(G79&lt;$B$33,1,0)</f>
        <v>1</v>
      </c>
      <c r="I79" s="43" t="n">
        <f aca="false">H79*(1-$B$6)^(G79-$B$31)*(1+$B$30)^(-G79)</f>
        <v>0.423183800531745</v>
      </c>
      <c r="J79" s="43" t="n">
        <f aca="false">H79*(1-$B$6)^(G79-$B$31)*L79*(1+$B$5)^(-G79)</f>
        <v>0.952185521848034</v>
      </c>
      <c r="L79" s="43" t="n">
        <f aca="false">IF($B$7="Oui",1-(IF(($B$4+G79)&lt;=$L$11,$M$11,IF(($B$4+G79)&gt;=$L$12,$M$12,INDEX($M$11:$M$12,MATCH(($B$4+G79),$L$11:$L$12,1))+(INDEX($M$11:$M$12,MATCH(($B$4+G79),$L$11:$L$12,1)+1)-INDEX($M$11:$M$12,MATCH(($B$4+G79),$L$11:$L$12,1)))*(($B$4+G79)-INDEX($L$11:$L$12,MATCH(($B$4+G79),$L$11:$L$12,1)))/(INDEX($L$11:$L$12,MATCH(($B$4+G79),$L$11:$L$12,1)+1)-INDEX($L$11:$L$12,MATCH(($B$4+G79),$L$11:$L$12,1)))))),1)</f>
        <v>1</v>
      </c>
    </row>
    <row r="80" customFormat="false" ht="15" hidden="false" customHeight="false" outlineLevel="0" collapsed="false">
      <c r="A80" s="32" t="n">
        <f aca="false">$B$32+0.125+20*0.25</f>
        <v>28.235</v>
      </c>
      <c r="B80" s="27" t="n">
        <f aca="false">IF(A80&lt;$B$31,1,0)</f>
        <v>1</v>
      </c>
      <c r="C80" s="43" t="n">
        <f aca="false">IF($B$7="Oui",1+((IF(($B$4+A80)&lt;=$I$11,$J$11,IF(($B$4+A80)&gt;=$I$33,$J$33,INDEX($J$11:$J$33,MATCH(($B$4+A80),$I$11:$I$33,1))+(INDEX($J$11:$J$33,MATCH(($B$4+A80),$I$11:$I$33,1)+1)-INDEX($J$11:$J$33,MATCH(($B$4+A80),$I$11:$I$33,1)))*(($B$4+A80)-INDEX($I$11:$I$33,MATCH(($B$4+A80),$I$11:$I$33,1)))/(INDEX($I$11:$I$33,MATCH(($B$4+A80),$I$11:$I$33,1)+1)-INDEX($I$11:$I$33,MATCH(($B$4+A80),$I$11:$I$33,1))))))-(IF(($B$4+A80)&lt;=$L$11,$M$11,IF(($B$4+A80)&gt;=$L$12,$M$12,INDEX($M$11:$M$12,MATCH(($B$4+A80),$L$11:$L$12,1))+(INDEX($M$11:$M$12,MATCH(($B$4+A80),$L$11:$L$12,1)+1)-INDEX($M$11:$M$12,MATCH(($B$4+A80),$L$11:$L$12,1)))*(($B$4+A80)-INDEX($L$11:$L$12,MATCH(($B$4+A80),$L$11:$L$12,1)))/(INDEX($L$11:$L$12,MATCH(($B$4+A80),$L$11:$L$12,1)+1)-INDEX($L$11:$L$12,MATCH(($B$4+A80),$L$11:$L$12,1)))))))/(1-(IF(($B$4+A80)&lt;=$I$11,$J$11,IF(($B$4+A80)&gt;=$I$33,$J$33,INDEX($J$11:$J$33,MATCH(($B$4+A80),$I$11:$I$33,1))+(INDEX($J$11:$J$33,MATCH(($B$4+A80),$I$11:$I$33,1)+1)-INDEX($J$11:$J$33,MATCH(($B$4+A80),$I$11:$I$33,1)))*(($B$4+A80)-INDEX($I$11:$I$33,MATCH(($B$4+A80),$I$11:$I$33,1)))/(INDEX($I$11:$I$33,MATCH(($B$4+A80),$I$11:$I$33,1)+1)-INDEX($I$11:$I$33,MATCH(($B$4+A80),$I$11:$I$33,1))))))),1)</f>
        <v>1</v>
      </c>
      <c r="D80" s="43" t="n">
        <f aca="false">B80*(1+$B$30)^(-A80)</f>
        <v>0.711662836753736</v>
      </c>
      <c r="E80" s="43" t="n">
        <f aca="false">B80*C80*(1+$B$5)^(-A80)</f>
        <v>1</v>
      </c>
      <c r="G80" s="32" t="n">
        <f aca="false">$B$31+0.125+20*0.25</f>
        <v>67.565</v>
      </c>
      <c r="H80" s="27" t="n">
        <f aca="false">IF(G80&lt;$B$33,1,0)</f>
        <v>1</v>
      </c>
      <c r="I80" s="43" t="n">
        <f aca="false">H80*(1-$B$6)^(G80-$B$31)*(1+$B$30)^(-G80)</f>
        <v>0.420852422607335</v>
      </c>
      <c r="J80" s="43" t="n">
        <f aca="false">H80*(1-$B$6)^(G80-$B$31)*L80*(1+$B$5)^(-G80)</f>
        <v>0.949796078870795</v>
      </c>
      <c r="L80" s="43" t="n">
        <f aca="false">IF($B$7="Oui",1-(IF(($B$4+G80)&lt;=$L$11,$M$11,IF(($B$4+G80)&gt;=$L$12,$M$12,INDEX($M$11:$M$12,MATCH(($B$4+G80),$L$11:$L$12,1))+(INDEX($M$11:$M$12,MATCH(($B$4+G80),$L$11:$L$12,1)+1)-INDEX($M$11:$M$12,MATCH(($B$4+G80),$L$11:$L$12,1)))*(($B$4+G80)-INDEX($L$11:$L$12,MATCH(($B$4+G80),$L$11:$L$12,1)))/(INDEX($L$11:$L$12,MATCH(($B$4+G80),$L$11:$L$12,1)+1)-INDEX($L$11:$L$12,MATCH(($B$4+G80),$L$11:$L$12,1)))))),1)</f>
        <v>1</v>
      </c>
    </row>
    <row r="81" customFormat="false" ht="15" hidden="false" customHeight="false" outlineLevel="0" collapsed="false">
      <c r="A81" s="32" t="n">
        <f aca="false">$B$32+0.125+21*0.25</f>
        <v>28.485</v>
      </c>
      <c r="B81" s="27" t="n">
        <f aca="false">IF(A81&lt;$B$31,1,0)</f>
        <v>1</v>
      </c>
      <c r="C81" s="43" t="n">
        <f aca="false">IF($B$7="Oui",1+((IF(($B$4+A81)&lt;=$I$11,$J$11,IF(($B$4+A81)&gt;=$I$33,$J$33,INDEX($J$11:$J$33,MATCH(($B$4+A81),$I$11:$I$33,1))+(INDEX($J$11:$J$33,MATCH(($B$4+A81),$I$11:$I$33,1)+1)-INDEX($J$11:$J$33,MATCH(($B$4+A81),$I$11:$I$33,1)))*(($B$4+A81)-INDEX($I$11:$I$33,MATCH(($B$4+A81),$I$11:$I$33,1)))/(INDEX($I$11:$I$33,MATCH(($B$4+A81),$I$11:$I$33,1)+1)-INDEX($I$11:$I$33,MATCH(($B$4+A81),$I$11:$I$33,1))))))-(IF(($B$4+A81)&lt;=$L$11,$M$11,IF(($B$4+A81)&gt;=$L$12,$M$12,INDEX($M$11:$M$12,MATCH(($B$4+A81),$L$11:$L$12,1))+(INDEX($M$11:$M$12,MATCH(($B$4+A81),$L$11:$L$12,1)+1)-INDEX($M$11:$M$12,MATCH(($B$4+A81),$L$11:$L$12,1)))*(($B$4+A81)-INDEX($L$11:$L$12,MATCH(($B$4+A81),$L$11:$L$12,1)))/(INDEX($L$11:$L$12,MATCH(($B$4+A81),$L$11:$L$12,1)+1)-INDEX($L$11:$L$12,MATCH(($B$4+A81),$L$11:$L$12,1)))))))/(1-(IF(($B$4+A81)&lt;=$I$11,$J$11,IF(($B$4+A81)&gt;=$I$33,$J$33,INDEX($J$11:$J$33,MATCH(($B$4+A81),$I$11:$I$33,1))+(INDEX($J$11:$J$33,MATCH(($B$4+A81),$I$11:$I$33,1)+1)-INDEX($J$11:$J$33,MATCH(($B$4+A81),$I$11:$I$33,1)))*(($B$4+A81)-INDEX($I$11:$I$33,MATCH(($B$4+A81),$I$11:$I$33,1)))/(INDEX($I$11:$I$33,MATCH(($B$4+A81),$I$11:$I$33,1)+1)-INDEX($I$11:$I$33,MATCH(($B$4+A81),$I$11:$I$33,1))))))),1)</f>
        <v>1</v>
      </c>
      <c r="D81" s="43" t="n">
        <f aca="false">B81*(1+$B$30)^(-A81)</f>
        <v>0.7095226855905</v>
      </c>
      <c r="E81" s="43" t="n">
        <f aca="false">B81*C81*(1+$B$5)^(-A81)</f>
        <v>1</v>
      </c>
      <c r="G81" s="32" t="n">
        <f aca="false">$B$31+0.125+21*0.25</f>
        <v>67.815</v>
      </c>
      <c r="H81" s="27" t="n">
        <f aca="false">IF(G81&lt;$B$33,1,0)</f>
        <v>1</v>
      </c>
      <c r="I81" s="43" t="n">
        <f aca="false">H81*(1-$B$6)^(G81-$B$31)*(1+$B$30)^(-G81)</f>
        <v>0.418533888565465</v>
      </c>
      <c r="J81" s="43" t="n">
        <f aca="false">H81*(1-$B$6)^(G81-$B$31)*L81*(1+$B$5)^(-G81)</f>
        <v>0.947412632033605</v>
      </c>
      <c r="L81" s="43" t="n">
        <f aca="false">IF($B$7="Oui",1-(IF(($B$4+G81)&lt;=$L$11,$M$11,IF(($B$4+G81)&gt;=$L$12,$M$12,INDEX($M$11:$M$12,MATCH(($B$4+G81),$L$11:$L$12,1))+(INDEX($M$11:$M$12,MATCH(($B$4+G81),$L$11:$L$12,1)+1)-INDEX($M$11:$M$12,MATCH(($B$4+G81),$L$11:$L$12,1)))*(($B$4+G81)-INDEX($L$11:$L$12,MATCH(($B$4+G81),$L$11:$L$12,1)))/(INDEX($L$11:$L$12,MATCH(($B$4+G81),$L$11:$L$12,1)+1)-INDEX($L$11:$L$12,MATCH(($B$4+G81),$L$11:$L$12,1)))))),1)</f>
        <v>1</v>
      </c>
    </row>
    <row r="82" customFormat="false" ht="15" hidden="false" customHeight="false" outlineLevel="0" collapsed="false">
      <c r="A82" s="32" t="n">
        <f aca="false">$B$32+0.125+22*0.25</f>
        <v>28.735</v>
      </c>
      <c r="B82" s="27" t="n">
        <f aca="false">IF(A82&lt;$B$31,1,0)</f>
        <v>1</v>
      </c>
      <c r="C82" s="43" t="n">
        <f aca="false">IF($B$7="Oui",1+((IF(($B$4+A82)&lt;=$I$11,$J$11,IF(($B$4+A82)&gt;=$I$33,$J$33,INDEX($J$11:$J$33,MATCH(($B$4+A82),$I$11:$I$33,1))+(INDEX($J$11:$J$33,MATCH(($B$4+A82),$I$11:$I$33,1)+1)-INDEX($J$11:$J$33,MATCH(($B$4+A82),$I$11:$I$33,1)))*(($B$4+A82)-INDEX($I$11:$I$33,MATCH(($B$4+A82),$I$11:$I$33,1)))/(INDEX($I$11:$I$33,MATCH(($B$4+A82),$I$11:$I$33,1)+1)-INDEX($I$11:$I$33,MATCH(($B$4+A82),$I$11:$I$33,1))))))-(IF(($B$4+A82)&lt;=$L$11,$M$11,IF(($B$4+A82)&gt;=$L$12,$M$12,INDEX($M$11:$M$12,MATCH(($B$4+A82),$L$11:$L$12,1))+(INDEX($M$11:$M$12,MATCH(($B$4+A82),$L$11:$L$12,1)+1)-INDEX($M$11:$M$12,MATCH(($B$4+A82),$L$11:$L$12,1)))*(($B$4+A82)-INDEX($L$11:$L$12,MATCH(($B$4+A82),$L$11:$L$12,1)))/(INDEX($L$11:$L$12,MATCH(($B$4+A82),$L$11:$L$12,1)+1)-INDEX($L$11:$L$12,MATCH(($B$4+A82),$L$11:$L$12,1)))))))/(1-(IF(($B$4+A82)&lt;=$I$11,$J$11,IF(($B$4+A82)&gt;=$I$33,$J$33,INDEX($J$11:$J$33,MATCH(($B$4+A82),$I$11:$I$33,1))+(INDEX($J$11:$J$33,MATCH(($B$4+A82),$I$11:$I$33,1)+1)-INDEX($J$11:$J$33,MATCH(($B$4+A82),$I$11:$I$33,1)))*(($B$4+A82)-INDEX($I$11:$I$33,MATCH(($B$4+A82),$I$11:$I$33,1)))/(INDEX($I$11:$I$33,MATCH(($B$4+A82),$I$11:$I$33,1)+1)-INDEX($I$11:$I$33,MATCH(($B$4+A82),$I$11:$I$33,1))))))),1)</f>
        <v>1</v>
      </c>
      <c r="D82" s="43" t="n">
        <f aca="false">B82*(1+$B$30)^(-A82)</f>
        <v>0.707388970406164</v>
      </c>
      <c r="E82" s="43" t="n">
        <f aca="false">B82*C82*(1+$B$5)^(-A82)</f>
        <v>1</v>
      </c>
      <c r="G82" s="32" t="n">
        <f aca="false">$B$31+0.125+22*0.25</f>
        <v>68.065</v>
      </c>
      <c r="H82" s="27" t="n">
        <f aca="false">IF(G82&lt;$B$33,1,0)</f>
        <v>1</v>
      </c>
      <c r="I82" s="43" t="n">
        <f aca="false">H82*(1-$B$6)^(G82-$B$31)*(1+$B$30)^(-G82)</f>
        <v>0.416228127647413</v>
      </c>
      <c r="J82" s="43" t="n">
        <f aca="false">H82*(1-$B$6)^(G82-$B$31)*L82*(1+$B$5)^(-G82)</f>
        <v>0.945035166289569</v>
      </c>
      <c r="L82" s="43" t="n">
        <f aca="false">IF($B$7="Oui",1-(IF(($B$4+G82)&lt;=$L$11,$M$11,IF(($B$4+G82)&gt;=$L$12,$M$12,INDEX($M$11:$M$12,MATCH(($B$4+G82),$L$11:$L$12,1))+(INDEX($M$11:$M$12,MATCH(($B$4+G82),$L$11:$L$12,1)+1)-INDEX($M$11:$M$12,MATCH(($B$4+G82),$L$11:$L$12,1)))*(($B$4+G82)-INDEX($L$11:$L$12,MATCH(($B$4+G82),$L$11:$L$12,1)))/(INDEX($L$11:$L$12,MATCH(($B$4+G82),$L$11:$L$12,1)+1)-INDEX($L$11:$L$12,MATCH(($B$4+G82),$L$11:$L$12,1)))))),1)</f>
        <v>1</v>
      </c>
    </row>
    <row r="83" customFormat="false" ht="15" hidden="false" customHeight="false" outlineLevel="0" collapsed="false">
      <c r="A83" s="32" t="n">
        <f aca="false">$B$32+0.125+23*0.25</f>
        <v>28.985</v>
      </c>
      <c r="B83" s="27" t="n">
        <f aca="false">IF(A83&lt;$B$31,1,0)</f>
        <v>1</v>
      </c>
      <c r="C83" s="43" t="n">
        <f aca="false">IF($B$7="Oui",1+((IF(($B$4+A83)&lt;=$I$11,$J$11,IF(($B$4+A83)&gt;=$I$33,$J$33,INDEX($J$11:$J$33,MATCH(($B$4+A83),$I$11:$I$33,1))+(INDEX($J$11:$J$33,MATCH(($B$4+A83),$I$11:$I$33,1)+1)-INDEX($J$11:$J$33,MATCH(($B$4+A83),$I$11:$I$33,1)))*(($B$4+A83)-INDEX($I$11:$I$33,MATCH(($B$4+A83),$I$11:$I$33,1)))/(INDEX($I$11:$I$33,MATCH(($B$4+A83),$I$11:$I$33,1)+1)-INDEX($I$11:$I$33,MATCH(($B$4+A83),$I$11:$I$33,1))))))-(IF(($B$4+A83)&lt;=$L$11,$M$11,IF(($B$4+A83)&gt;=$L$12,$M$12,INDEX($M$11:$M$12,MATCH(($B$4+A83),$L$11:$L$12,1))+(INDEX($M$11:$M$12,MATCH(($B$4+A83),$L$11:$L$12,1)+1)-INDEX($M$11:$M$12,MATCH(($B$4+A83),$L$11:$L$12,1)))*(($B$4+A83)-INDEX($L$11:$L$12,MATCH(($B$4+A83),$L$11:$L$12,1)))/(INDEX($L$11:$L$12,MATCH(($B$4+A83),$L$11:$L$12,1)+1)-INDEX($L$11:$L$12,MATCH(($B$4+A83),$L$11:$L$12,1)))))))/(1-(IF(($B$4+A83)&lt;=$I$11,$J$11,IF(($B$4+A83)&gt;=$I$33,$J$33,INDEX($J$11:$J$33,MATCH(($B$4+A83),$I$11:$I$33,1))+(INDEX($J$11:$J$33,MATCH(($B$4+A83),$I$11:$I$33,1)+1)-INDEX($J$11:$J$33,MATCH(($B$4+A83),$I$11:$I$33,1)))*(($B$4+A83)-INDEX($I$11:$I$33,MATCH(($B$4+A83),$I$11:$I$33,1)))/(INDEX($I$11:$I$33,MATCH(($B$4+A83),$I$11:$I$33,1)+1)-INDEX($I$11:$I$33,MATCH(($B$4+A83),$I$11:$I$33,1))))))),1)</f>
        <v>1</v>
      </c>
      <c r="D83" s="43" t="n">
        <f aca="false">B83*(1+$B$30)^(-A83)</f>
        <v>0.705261671846103</v>
      </c>
      <c r="E83" s="43" t="n">
        <f aca="false">B83*C83*(1+$B$5)^(-A83)</f>
        <v>1</v>
      </c>
      <c r="G83" s="32" t="n">
        <f aca="false">$B$31+0.125+23*0.25</f>
        <v>68.315</v>
      </c>
      <c r="H83" s="27" t="n">
        <f aca="false">IF(G83&lt;$B$33,1,0)</f>
        <v>1</v>
      </c>
      <c r="I83" s="43" t="n">
        <f aca="false">H83*(1-$B$6)^(G83-$B$31)*(1+$B$30)^(-G83)</f>
        <v>0.413935069484278</v>
      </c>
      <c r="J83" s="43" t="n">
        <f aca="false">H83*(1-$B$6)^(G83-$B$31)*L83*(1+$B$5)^(-G83)</f>
        <v>0.942663666629554</v>
      </c>
      <c r="L83" s="43" t="n">
        <f aca="false">IF($B$7="Oui",1-(IF(($B$4+G83)&lt;=$L$11,$M$11,IF(($B$4+G83)&gt;=$L$12,$M$12,INDEX($M$11:$M$12,MATCH(($B$4+G83),$L$11:$L$12,1))+(INDEX($M$11:$M$12,MATCH(($B$4+G83),$L$11:$L$12,1)+1)-INDEX($M$11:$M$12,MATCH(($B$4+G83),$L$11:$L$12,1)))*(($B$4+G83)-INDEX($L$11:$L$12,MATCH(($B$4+G83),$L$11:$L$12,1)))/(INDEX($L$11:$L$12,MATCH(($B$4+G83),$L$11:$L$12,1)+1)-INDEX($L$11:$L$12,MATCH(($B$4+G83),$L$11:$L$12,1)))))),1)</f>
        <v>1</v>
      </c>
    </row>
    <row r="84" customFormat="false" ht="15" hidden="false" customHeight="false" outlineLevel="0" collapsed="false">
      <c r="A84" s="32" t="n">
        <f aca="false">$B$32+0.125+24*0.25</f>
        <v>29.235</v>
      </c>
      <c r="B84" s="27" t="n">
        <f aca="false">IF(A84&lt;$B$31,1,0)</f>
        <v>1</v>
      </c>
      <c r="C84" s="43" t="n">
        <f aca="false">IF($B$7="Oui",1+((IF(($B$4+A84)&lt;=$I$11,$J$11,IF(($B$4+A84)&gt;=$I$33,$J$33,INDEX($J$11:$J$33,MATCH(($B$4+A84),$I$11:$I$33,1))+(INDEX($J$11:$J$33,MATCH(($B$4+A84),$I$11:$I$33,1)+1)-INDEX($J$11:$J$33,MATCH(($B$4+A84),$I$11:$I$33,1)))*(($B$4+A84)-INDEX($I$11:$I$33,MATCH(($B$4+A84),$I$11:$I$33,1)))/(INDEX($I$11:$I$33,MATCH(($B$4+A84),$I$11:$I$33,1)+1)-INDEX($I$11:$I$33,MATCH(($B$4+A84),$I$11:$I$33,1))))))-(IF(($B$4+A84)&lt;=$L$11,$M$11,IF(($B$4+A84)&gt;=$L$12,$M$12,INDEX($M$11:$M$12,MATCH(($B$4+A84),$L$11:$L$12,1))+(INDEX($M$11:$M$12,MATCH(($B$4+A84),$L$11:$L$12,1)+1)-INDEX($M$11:$M$12,MATCH(($B$4+A84),$L$11:$L$12,1)))*(($B$4+A84)-INDEX($L$11:$L$12,MATCH(($B$4+A84),$L$11:$L$12,1)))/(INDEX($L$11:$L$12,MATCH(($B$4+A84),$L$11:$L$12,1)+1)-INDEX($L$11:$L$12,MATCH(($B$4+A84),$L$11:$L$12,1)))))))/(1-(IF(($B$4+A84)&lt;=$I$11,$J$11,IF(($B$4+A84)&gt;=$I$33,$J$33,INDEX($J$11:$J$33,MATCH(($B$4+A84),$I$11:$I$33,1))+(INDEX($J$11:$J$33,MATCH(($B$4+A84),$I$11:$I$33,1)+1)-INDEX($J$11:$J$33,MATCH(($B$4+A84),$I$11:$I$33,1)))*(($B$4+A84)-INDEX($I$11:$I$33,MATCH(($B$4+A84),$I$11:$I$33,1)))/(INDEX($I$11:$I$33,MATCH(($B$4+A84),$I$11:$I$33,1)+1)-INDEX($I$11:$I$33,MATCH(($B$4+A84),$I$11:$I$33,1))))))),1)</f>
        <v>1</v>
      </c>
      <c r="D84" s="43" t="n">
        <f aca="false">B84*(1+$B$30)^(-A84)</f>
        <v>0.703140770613895</v>
      </c>
      <c r="E84" s="43" t="n">
        <f aca="false">B84*C84*(1+$B$5)^(-A84)</f>
        <v>1</v>
      </c>
      <c r="G84" s="32" t="n">
        <f aca="false">$B$31+0.125+24*0.25</f>
        <v>68.565</v>
      </c>
      <c r="H84" s="27" t="n">
        <f aca="false">IF(G84&lt;$B$33,1,0)</f>
        <v>1</v>
      </c>
      <c r="I84" s="43" t="n">
        <f aca="false">H84*(1-$B$6)^(G84-$B$31)*(1+$B$30)^(-G84)</f>
        <v>0.411654644094833</v>
      </c>
      <c r="J84" s="43" t="n">
        <f aca="false">H84*(1-$B$6)^(G84-$B$31)*L84*(1+$B$5)^(-G84)</f>
        <v>0.940298118082087</v>
      </c>
      <c r="L84" s="43" t="n">
        <f aca="false">IF($B$7="Oui",1-(IF(($B$4+G84)&lt;=$L$11,$M$11,IF(($B$4+G84)&gt;=$L$12,$M$12,INDEX($M$11:$M$12,MATCH(($B$4+G84),$L$11:$L$12,1))+(INDEX($M$11:$M$12,MATCH(($B$4+G84),$L$11:$L$12,1)+1)-INDEX($M$11:$M$12,MATCH(($B$4+G84),$L$11:$L$12,1)))*(($B$4+G84)-INDEX($L$11:$L$12,MATCH(($B$4+G84),$L$11:$L$12,1)))/(INDEX($L$11:$L$12,MATCH(($B$4+G84),$L$11:$L$12,1)+1)-INDEX($L$11:$L$12,MATCH(($B$4+G84),$L$11:$L$12,1)))))),1)</f>
        <v>1</v>
      </c>
    </row>
    <row r="85" customFormat="false" ht="15" hidden="false" customHeight="false" outlineLevel="0" collapsed="false">
      <c r="A85" s="32" t="n">
        <f aca="false">$B$32+0.125+25*0.25</f>
        <v>29.485</v>
      </c>
      <c r="B85" s="27" t="n">
        <f aca="false">IF(A85&lt;$B$31,1,0)</f>
        <v>1</v>
      </c>
      <c r="C85" s="43" t="n">
        <f aca="false">IF($B$7="Oui",1+((IF(($B$4+A85)&lt;=$I$11,$J$11,IF(($B$4+A85)&gt;=$I$33,$J$33,INDEX($J$11:$J$33,MATCH(($B$4+A85),$I$11:$I$33,1))+(INDEX($J$11:$J$33,MATCH(($B$4+A85),$I$11:$I$33,1)+1)-INDEX($J$11:$J$33,MATCH(($B$4+A85),$I$11:$I$33,1)))*(($B$4+A85)-INDEX($I$11:$I$33,MATCH(($B$4+A85),$I$11:$I$33,1)))/(INDEX($I$11:$I$33,MATCH(($B$4+A85),$I$11:$I$33,1)+1)-INDEX($I$11:$I$33,MATCH(($B$4+A85),$I$11:$I$33,1))))))-(IF(($B$4+A85)&lt;=$L$11,$M$11,IF(($B$4+A85)&gt;=$L$12,$M$12,INDEX($M$11:$M$12,MATCH(($B$4+A85),$L$11:$L$12,1))+(INDEX($M$11:$M$12,MATCH(($B$4+A85),$L$11:$L$12,1)+1)-INDEX($M$11:$M$12,MATCH(($B$4+A85),$L$11:$L$12,1)))*(($B$4+A85)-INDEX($L$11:$L$12,MATCH(($B$4+A85),$L$11:$L$12,1)))/(INDEX($L$11:$L$12,MATCH(($B$4+A85),$L$11:$L$12,1)+1)-INDEX($L$11:$L$12,MATCH(($B$4+A85),$L$11:$L$12,1)))))))/(1-(IF(($B$4+A85)&lt;=$I$11,$J$11,IF(($B$4+A85)&gt;=$I$33,$J$33,INDEX($J$11:$J$33,MATCH(($B$4+A85),$I$11:$I$33,1))+(INDEX($J$11:$J$33,MATCH(($B$4+A85),$I$11:$I$33,1)+1)-INDEX($J$11:$J$33,MATCH(($B$4+A85),$I$11:$I$33,1)))*(($B$4+A85)-INDEX($I$11:$I$33,MATCH(($B$4+A85),$I$11:$I$33,1)))/(INDEX($I$11:$I$33,MATCH(($B$4+A85),$I$11:$I$33,1)+1)-INDEX($I$11:$I$33,MATCH(($B$4+A85),$I$11:$I$33,1))))))),1)</f>
        <v>1</v>
      </c>
      <c r="D85" s="43" t="n">
        <f aca="false">B85*(1+$B$30)^(-A85)</f>
        <v>0.701026247471149</v>
      </c>
      <c r="E85" s="43" t="n">
        <f aca="false">B85*C85*(1+$B$5)^(-A85)</f>
        <v>1</v>
      </c>
      <c r="G85" s="32" t="n">
        <f aca="false">$B$31+0.125+25*0.25</f>
        <v>68.815</v>
      </c>
      <c r="H85" s="27" t="n">
        <f aca="false">IF(G85&lt;$B$33,1,0)</f>
        <v>1</v>
      </c>
      <c r="I85" s="43" t="n">
        <f aca="false">H85*(1-$B$6)^(G85-$B$31)*(1+$B$30)^(-G85)</f>
        <v>0.409386781883383</v>
      </c>
      <c r="J85" s="43" t="n">
        <f aca="false">H85*(1-$B$6)^(G85-$B$31)*L85*(1+$B$5)^(-G85)</f>
        <v>0.937938505713269</v>
      </c>
      <c r="L85" s="43" t="n">
        <f aca="false">IF($B$7="Oui",1-(IF(($B$4+G85)&lt;=$L$11,$M$11,IF(($B$4+G85)&gt;=$L$12,$M$12,INDEX($M$11:$M$12,MATCH(($B$4+G85),$L$11:$L$12,1))+(INDEX($M$11:$M$12,MATCH(($B$4+G85),$L$11:$L$12,1)+1)-INDEX($M$11:$M$12,MATCH(($B$4+G85),$L$11:$L$12,1)))*(($B$4+G85)-INDEX($L$11:$L$12,MATCH(($B$4+G85),$L$11:$L$12,1)))/(INDEX($L$11:$L$12,MATCH(($B$4+G85),$L$11:$L$12,1)+1)-INDEX($L$11:$L$12,MATCH(($B$4+G85),$L$11:$L$12,1)))))),1)</f>
        <v>1</v>
      </c>
    </row>
    <row r="86" customFormat="false" ht="15" hidden="false" customHeight="false" outlineLevel="0" collapsed="false">
      <c r="A86" s="32" t="n">
        <f aca="false">$B$32+0.125+26*0.25</f>
        <v>29.735</v>
      </c>
      <c r="B86" s="27" t="n">
        <f aca="false">IF(A86&lt;$B$31,1,0)</f>
        <v>1</v>
      </c>
      <c r="C86" s="43" t="n">
        <f aca="false">IF($B$7="Oui",1+((IF(($B$4+A86)&lt;=$I$11,$J$11,IF(($B$4+A86)&gt;=$I$33,$J$33,INDEX($J$11:$J$33,MATCH(($B$4+A86),$I$11:$I$33,1))+(INDEX($J$11:$J$33,MATCH(($B$4+A86),$I$11:$I$33,1)+1)-INDEX($J$11:$J$33,MATCH(($B$4+A86),$I$11:$I$33,1)))*(($B$4+A86)-INDEX($I$11:$I$33,MATCH(($B$4+A86),$I$11:$I$33,1)))/(INDEX($I$11:$I$33,MATCH(($B$4+A86),$I$11:$I$33,1)+1)-INDEX($I$11:$I$33,MATCH(($B$4+A86),$I$11:$I$33,1))))))-(IF(($B$4+A86)&lt;=$L$11,$M$11,IF(($B$4+A86)&gt;=$L$12,$M$12,INDEX($M$11:$M$12,MATCH(($B$4+A86),$L$11:$L$12,1))+(INDEX($M$11:$M$12,MATCH(($B$4+A86),$L$11:$L$12,1)+1)-INDEX($M$11:$M$12,MATCH(($B$4+A86),$L$11:$L$12,1)))*(($B$4+A86)-INDEX($L$11:$L$12,MATCH(($B$4+A86),$L$11:$L$12,1)))/(INDEX($L$11:$L$12,MATCH(($B$4+A86),$L$11:$L$12,1)+1)-INDEX($L$11:$L$12,MATCH(($B$4+A86),$L$11:$L$12,1)))))))/(1-(IF(($B$4+A86)&lt;=$I$11,$J$11,IF(($B$4+A86)&gt;=$I$33,$J$33,INDEX($J$11:$J$33,MATCH(($B$4+A86),$I$11:$I$33,1))+(INDEX($J$11:$J$33,MATCH(($B$4+A86),$I$11:$I$33,1)+1)-INDEX($J$11:$J$33,MATCH(($B$4+A86),$I$11:$I$33,1)))*(($B$4+A86)-INDEX($I$11:$I$33,MATCH(($B$4+A86),$I$11:$I$33,1)))/(INDEX($I$11:$I$33,MATCH(($B$4+A86),$I$11:$I$33,1)+1)-INDEX($I$11:$I$33,MATCH(($B$4+A86),$I$11:$I$33,1))))))),1)</f>
        <v>1</v>
      </c>
      <c r="D86" s="43" t="n">
        <f aca="false">B86*(1+$B$30)^(-A86)</f>
        <v>0.698918083237327</v>
      </c>
      <c r="E86" s="43" t="n">
        <f aca="false">B86*C86*(1+$B$5)^(-A86)</f>
        <v>1</v>
      </c>
      <c r="G86" s="32" t="n">
        <f aca="false">$B$31+0.125+26*0.25</f>
        <v>69.065</v>
      </c>
      <c r="H86" s="27" t="n">
        <f aca="false">IF(G86&lt;$B$33,1,0)</f>
        <v>1</v>
      </c>
      <c r="I86" s="43" t="n">
        <f aca="false">H86*(1-$B$6)^(G86-$B$31)*(1+$B$30)^(-G86)</f>
        <v>0.40713141363765</v>
      </c>
      <c r="J86" s="43" t="n">
        <f aca="false">H86*(1-$B$6)^(G86-$B$31)*L86*(1+$B$5)^(-G86)</f>
        <v>0.935584814626674</v>
      </c>
      <c r="L86" s="43" t="n">
        <f aca="false">IF($B$7="Oui",1-(IF(($B$4+G86)&lt;=$L$11,$M$11,IF(($B$4+G86)&gt;=$L$12,$M$12,INDEX($M$11:$M$12,MATCH(($B$4+G86),$L$11:$L$12,1))+(INDEX($M$11:$M$12,MATCH(($B$4+G86),$L$11:$L$12,1)+1)-INDEX($M$11:$M$12,MATCH(($B$4+G86),$L$11:$L$12,1)))*(($B$4+G86)-INDEX($L$11:$L$12,MATCH(($B$4+G86),$L$11:$L$12,1)))/(INDEX($L$11:$L$12,MATCH(($B$4+G86),$L$11:$L$12,1)+1)-INDEX($L$11:$L$12,MATCH(($B$4+G86),$L$11:$L$12,1)))))),1)</f>
        <v>1</v>
      </c>
    </row>
    <row r="87" customFormat="false" ht="15" hidden="false" customHeight="false" outlineLevel="0" collapsed="false">
      <c r="A87" s="32" t="n">
        <f aca="false">$B$32+0.125+27*0.25</f>
        <v>29.985</v>
      </c>
      <c r="B87" s="27" t="n">
        <f aca="false">IF(A87&lt;$B$31,1,0)</f>
        <v>1</v>
      </c>
      <c r="C87" s="43" t="n">
        <f aca="false">IF($B$7="Oui",1+((IF(($B$4+A87)&lt;=$I$11,$J$11,IF(($B$4+A87)&gt;=$I$33,$J$33,INDEX($J$11:$J$33,MATCH(($B$4+A87),$I$11:$I$33,1))+(INDEX($J$11:$J$33,MATCH(($B$4+A87),$I$11:$I$33,1)+1)-INDEX($J$11:$J$33,MATCH(($B$4+A87),$I$11:$I$33,1)))*(($B$4+A87)-INDEX($I$11:$I$33,MATCH(($B$4+A87),$I$11:$I$33,1)))/(INDEX($I$11:$I$33,MATCH(($B$4+A87),$I$11:$I$33,1)+1)-INDEX($I$11:$I$33,MATCH(($B$4+A87),$I$11:$I$33,1))))))-(IF(($B$4+A87)&lt;=$L$11,$M$11,IF(($B$4+A87)&gt;=$L$12,$M$12,INDEX($M$11:$M$12,MATCH(($B$4+A87),$L$11:$L$12,1))+(INDEX($M$11:$M$12,MATCH(($B$4+A87),$L$11:$L$12,1)+1)-INDEX($M$11:$M$12,MATCH(($B$4+A87),$L$11:$L$12,1)))*(($B$4+A87)-INDEX($L$11:$L$12,MATCH(($B$4+A87),$L$11:$L$12,1)))/(INDEX($L$11:$L$12,MATCH(($B$4+A87),$L$11:$L$12,1)+1)-INDEX($L$11:$L$12,MATCH(($B$4+A87),$L$11:$L$12,1)))))))/(1-(IF(($B$4+A87)&lt;=$I$11,$J$11,IF(($B$4+A87)&gt;=$I$33,$J$33,INDEX($J$11:$J$33,MATCH(($B$4+A87),$I$11:$I$33,1))+(INDEX($J$11:$J$33,MATCH(($B$4+A87),$I$11:$I$33,1)+1)-INDEX($J$11:$J$33,MATCH(($B$4+A87),$I$11:$I$33,1)))*(($B$4+A87)-INDEX($I$11:$I$33,MATCH(($B$4+A87),$I$11:$I$33,1)))/(INDEX($I$11:$I$33,MATCH(($B$4+A87),$I$11:$I$33,1)+1)-INDEX($I$11:$I$33,MATCH(($B$4+A87),$I$11:$I$33,1))))))),1)</f>
        <v>1</v>
      </c>
      <c r="D87" s="43" t="n">
        <f aca="false">B87*(1+$B$30)^(-A87)</f>
        <v>0.696816258789573</v>
      </c>
      <c r="E87" s="43" t="n">
        <f aca="false">B87*C87*(1+$B$5)^(-A87)</f>
        <v>1</v>
      </c>
      <c r="G87" s="32" t="n">
        <f aca="false">$B$31+0.125+27*0.25</f>
        <v>69.315</v>
      </c>
      <c r="H87" s="27" t="n">
        <f aca="false">IF(G87&lt;$B$33,1,0)</f>
        <v>1</v>
      </c>
      <c r="I87" s="43" t="n">
        <f aca="false">H87*(1-$B$6)^(G87-$B$31)*(1+$B$30)^(-G87)</f>
        <v>0.404888470526652</v>
      </c>
      <c r="J87" s="43" t="n">
        <f aca="false">H87*(1-$B$6)^(G87-$B$31)*L87*(1+$B$5)^(-G87)</f>
        <v>0.933237029963258</v>
      </c>
      <c r="L87" s="43" t="n">
        <f aca="false">IF($B$7="Oui",1-(IF(($B$4+G87)&lt;=$L$11,$M$11,IF(($B$4+G87)&gt;=$L$12,$M$12,INDEX($M$11:$M$12,MATCH(($B$4+G87),$L$11:$L$12,1))+(INDEX($M$11:$M$12,MATCH(($B$4+G87),$L$11:$L$12,1)+1)-INDEX($M$11:$M$12,MATCH(($B$4+G87),$L$11:$L$12,1)))*(($B$4+G87)-INDEX($L$11:$L$12,MATCH(($B$4+G87),$L$11:$L$12,1)))/(INDEX($L$11:$L$12,MATCH(($B$4+G87),$L$11:$L$12,1)+1)-INDEX($L$11:$L$12,MATCH(($B$4+G87),$L$11:$L$12,1)))))),1)</f>
        <v>1</v>
      </c>
    </row>
    <row r="88" customFormat="false" ht="15" hidden="false" customHeight="false" outlineLevel="0" collapsed="false">
      <c r="A88" s="32" t="n">
        <f aca="false">$B$32+0.125+28*0.25</f>
        <v>30.235</v>
      </c>
      <c r="B88" s="27" t="n">
        <f aca="false">IF(A88&lt;$B$31,1,0)</f>
        <v>1</v>
      </c>
      <c r="C88" s="43" t="n">
        <f aca="false">IF($B$7="Oui",1+((IF(($B$4+A88)&lt;=$I$11,$J$11,IF(($B$4+A88)&gt;=$I$33,$J$33,INDEX($J$11:$J$33,MATCH(($B$4+A88),$I$11:$I$33,1))+(INDEX($J$11:$J$33,MATCH(($B$4+A88),$I$11:$I$33,1)+1)-INDEX($J$11:$J$33,MATCH(($B$4+A88),$I$11:$I$33,1)))*(($B$4+A88)-INDEX($I$11:$I$33,MATCH(($B$4+A88),$I$11:$I$33,1)))/(INDEX($I$11:$I$33,MATCH(($B$4+A88),$I$11:$I$33,1)+1)-INDEX($I$11:$I$33,MATCH(($B$4+A88),$I$11:$I$33,1))))))-(IF(($B$4+A88)&lt;=$L$11,$M$11,IF(($B$4+A88)&gt;=$L$12,$M$12,INDEX($M$11:$M$12,MATCH(($B$4+A88),$L$11:$L$12,1))+(INDEX($M$11:$M$12,MATCH(($B$4+A88),$L$11:$L$12,1)+1)-INDEX($M$11:$M$12,MATCH(($B$4+A88),$L$11:$L$12,1)))*(($B$4+A88)-INDEX($L$11:$L$12,MATCH(($B$4+A88),$L$11:$L$12,1)))/(INDEX($L$11:$L$12,MATCH(($B$4+A88),$L$11:$L$12,1)+1)-INDEX($L$11:$L$12,MATCH(($B$4+A88),$L$11:$L$12,1)))))))/(1-(IF(($B$4+A88)&lt;=$I$11,$J$11,IF(($B$4+A88)&gt;=$I$33,$J$33,INDEX($J$11:$J$33,MATCH(($B$4+A88),$I$11:$I$33,1))+(INDEX($J$11:$J$33,MATCH(($B$4+A88),$I$11:$I$33,1)+1)-INDEX($J$11:$J$33,MATCH(($B$4+A88),$I$11:$I$33,1)))*(($B$4+A88)-INDEX($I$11:$I$33,MATCH(($B$4+A88),$I$11:$I$33,1)))/(INDEX($I$11:$I$33,MATCH(($B$4+A88),$I$11:$I$33,1)+1)-INDEX($I$11:$I$33,MATCH(($B$4+A88),$I$11:$I$33,1))))))),1)</f>
        <v>1</v>
      </c>
      <c r="D88" s="43" t="n">
        <f aca="false">B88*(1+$B$30)^(-A88)</f>
        <v>0.694720755062537</v>
      </c>
      <c r="E88" s="43" t="n">
        <f aca="false">B88*C88*(1+$B$5)^(-A88)</f>
        <v>1</v>
      </c>
      <c r="G88" s="32" t="n">
        <f aca="false">$B$31+0.125+28*0.25</f>
        <v>69.565</v>
      </c>
      <c r="H88" s="27" t="n">
        <f aca="false">IF(G88&lt;$B$33,1,0)</f>
        <v>1</v>
      </c>
      <c r="I88" s="43" t="n">
        <f aca="false">H88*(1-$B$6)^(G88-$B$31)*(1+$B$30)^(-G88)</f>
        <v>0.402657884098609</v>
      </c>
      <c r="J88" s="43" t="n">
        <f aca="false">H88*(1-$B$6)^(G88-$B$31)*L88*(1+$B$5)^(-G88)</f>
        <v>0.930895136901266</v>
      </c>
      <c r="L88" s="43" t="n">
        <f aca="false">IF($B$7="Oui",1-(IF(($B$4+G88)&lt;=$L$11,$M$11,IF(($B$4+G88)&gt;=$L$12,$M$12,INDEX($M$11:$M$12,MATCH(($B$4+G88),$L$11:$L$12,1))+(INDEX($M$11:$M$12,MATCH(($B$4+G88),$L$11:$L$12,1)+1)-INDEX($M$11:$M$12,MATCH(($B$4+G88),$L$11:$L$12,1)))*(($B$4+G88)-INDEX($L$11:$L$12,MATCH(($B$4+G88),$L$11:$L$12,1)))/(INDEX($L$11:$L$12,MATCH(($B$4+G88),$L$11:$L$12,1)+1)-INDEX($L$11:$L$12,MATCH(($B$4+G88),$L$11:$L$12,1)))))),1)</f>
        <v>1</v>
      </c>
    </row>
    <row r="89" customFormat="false" ht="15" hidden="false" customHeight="false" outlineLevel="0" collapsed="false">
      <c r="A89" s="32" t="n">
        <f aca="false">$B$32+0.125+29*0.25</f>
        <v>30.485</v>
      </c>
      <c r="B89" s="27" t="n">
        <f aca="false">IF(A89&lt;$B$31,1,0)</f>
        <v>1</v>
      </c>
      <c r="C89" s="43" t="n">
        <f aca="false">IF($B$7="Oui",1+((IF(($B$4+A89)&lt;=$I$11,$J$11,IF(($B$4+A89)&gt;=$I$33,$J$33,INDEX($J$11:$J$33,MATCH(($B$4+A89),$I$11:$I$33,1))+(INDEX($J$11:$J$33,MATCH(($B$4+A89),$I$11:$I$33,1)+1)-INDEX($J$11:$J$33,MATCH(($B$4+A89),$I$11:$I$33,1)))*(($B$4+A89)-INDEX($I$11:$I$33,MATCH(($B$4+A89),$I$11:$I$33,1)))/(INDEX($I$11:$I$33,MATCH(($B$4+A89),$I$11:$I$33,1)+1)-INDEX($I$11:$I$33,MATCH(($B$4+A89),$I$11:$I$33,1))))))-(IF(($B$4+A89)&lt;=$L$11,$M$11,IF(($B$4+A89)&gt;=$L$12,$M$12,INDEX($M$11:$M$12,MATCH(($B$4+A89),$L$11:$L$12,1))+(INDEX($M$11:$M$12,MATCH(($B$4+A89),$L$11:$L$12,1)+1)-INDEX($M$11:$M$12,MATCH(($B$4+A89),$L$11:$L$12,1)))*(($B$4+A89)-INDEX($L$11:$L$12,MATCH(($B$4+A89),$L$11:$L$12,1)))/(INDEX($L$11:$L$12,MATCH(($B$4+A89),$L$11:$L$12,1)+1)-INDEX($L$11:$L$12,MATCH(($B$4+A89),$L$11:$L$12,1)))))))/(1-(IF(($B$4+A89)&lt;=$I$11,$J$11,IF(($B$4+A89)&gt;=$I$33,$J$33,INDEX($J$11:$J$33,MATCH(($B$4+A89),$I$11:$I$33,1))+(INDEX($J$11:$J$33,MATCH(($B$4+A89),$I$11:$I$33,1)+1)-INDEX($J$11:$J$33,MATCH(($B$4+A89),$I$11:$I$33,1)))*(($B$4+A89)-INDEX($I$11:$I$33,MATCH(($B$4+A89),$I$11:$I$33,1)))/(INDEX($I$11:$I$33,MATCH(($B$4+A89),$I$11:$I$33,1)+1)-INDEX($I$11:$I$33,MATCH(($B$4+A89),$I$11:$I$33,1))))))),1)</f>
        <v>1</v>
      </c>
      <c r="D89" s="43" t="n">
        <f aca="false">B89*(1+$B$30)^(-A89)</f>
        <v>0.692631553048205</v>
      </c>
      <c r="E89" s="43" t="n">
        <f aca="false">B89*C89*(1+$B$5)^(-A89)</f>
        <v>1</v>
      </c>
      <c r="G89" s="32" t="n">
        <f aca="false">$B$31+0.125+29*0.25</f>
        <v>69.815</v>
      </c>
      <c r="H89" s="27" t="n">
        <f aca="false">IF(G89&lt;$B$33,1,0)</f>
        <v>1</v>
      </c>
      <c r="I89" s="43" t="n">
        <f aca="false">H89*(1-$B$6)^(G89-$B$31)*(1+$B$30)^(-G89)</f>
        <v>0.40043958627885</v>
      </c>
      <c r="J89" s="43" t="n">
        <f aca="false">H89*(1-$B$6)^(G89-$B$31)*L89*(1+$B$5)^(-G89)</f>
        <v>0.928559120656136</v>
      </c>
      <c r="L89" s="43" t="n">
        <f aca="false">IF($B$7="Oui",1-(IF(($B$4+G89)&lt;=$L$11,$M$11,IF(($B$4+G89)&gt;=$L$12,$M$12,INDEX($M$11:$M$12,MATCH(($B$4+G89),$L$11:$L$12,1))+(INDEX($M$11:$M$12,MATCH(($B$4+G89),$L$11:$L$12,1)+1)-INDEX($M$11:$M$12,MATCH(($B$4+G89),$L$11:$L$12,1)))*(($B$4+G89)-INDEX($L$11:$L$12,MATCH(($B$4+G89),$L$11:$L$12,1)))/(INDEX($L$11:$L$12,MATCH(($B$4+G89),$L$11:$L$12,1)+1)-INDEX($L$11:$L$12,MATCH(($B$4+G89),$L$11:$L$12,1)))))),1)</f>
        <v>1</v>
      </c>
    </row>
    <row r="90" customFormat="false" ht="15" hidden="false" customHeight="false" outlineLevel="0" collapsed="false">
      <c r="A90" s="32" t="n">
        <f aca="false">$B$32+0.125+30*0.25</f>
        <v>30.735</v>
      </c>
      <c r="B90" s="27" t="n">
        <f aca="false">IF(A90&lt;$B$31,1,0)</f>
        <v>1</v>
      </c>
      <c r="C90" s="43" t="n">
        <f aca="false">IF($B$7="Oui",1+((IF(($B$4+A90)&lt;=$I$11,$J$11,IF(($B$4+A90)&gt;=$I$33,$J$33,INDEX($J$11:$J$33,MATCH(($B$4+A90),$I$11:$I$33,1))+(INDEX($J$11:$J$33,MATCH(($B$4+A90),$I$11:$I$33,1)+1)-INDEX($J$11:$J$33,MATCH(($B$4+A90),$I$11:$I$33,1)))*(($B$4+A90)-INDEX($I$11:$I$33,MATCH(($B$4+A90),$I$11:$I$33,1)))/(INDEX($I$11:$I$33,MATCH(($B$4+A90),$I$11:$I$33,1)+1)-INDEX($I$11:$I$33,MATCH(($B$4+A90),$I$11:$I$33,1))))))-(IF(($B$4+A90)&lt;=$L$11,$M$11,IF(($B$4+A90)&gt;=$L$12,$M$12,INDEX($M$11:$M$12,MATCH(($B$4+A90),$L$11:$L$12,1))+(INDEX($M$11:$M$12,MATCH(($B$4+A90),$L$11:$L$12,1)+1)-INDEX($M$11:$M$12,MATCH(($B$4+A90),$L$11:$L$12,1)))*(($B$4+A90)-INDEX($L$11:$L$12,MATCH(($B$4+A90),$L$11:$L$12,1)))/(INDEX($L$11:$L$12,MATCH(($B$4+A90),$L$11:$L$12,1)+1)-INDEX($L$11:$L$12,MATCH(($B$4+A90),$L$11:$L$12,1)))))))/(1-(IF(($B$4+A90)&lt;=$I$11,$J$11,IF(($B$4+A90)&gt;=$I$33,$J$33,INDEX($J$11:$J$33,MATCH(($B$4+A90),$I$11:$I$33,1))+(INDEX($J$11:$J$33,MATCH(($B$4+A90),$I$11:$I$33,1)+1)-INDEX($J$11:$J$33,MATCH(($B$4+A90),$I$11:$I$33,1)))*(($B$4+A90)-INDEX($I$11:$I$33,MATCH(($B$4+A90),$I$11:$I$33,1)))/(INDEX($I$11:$I$33,MATCH(($B$4+A90),$I$11:$I$33,1)+1)-INDEX($I$11:$I$33,MATCH(($B$4+A90),$I$11:$I$33,1))))))),1)</f>
        <v>1</v>
      </c>
      <c r="D90" s="43" t="n">
        <f aca="false">B90*(1+$B$30)^(-A90)</f>
        <v>0.690548633795723</v>
      </c>
      <c r="E90" s="43" t="n">
        <f aca="false">B90*C90*(1+$B$5)^(-A90)</f>
        <v>1</v>
      </c>
      <c r="G90" s="32" t="n">
        <f aca="false">$B$31+0.125+30*0.25</f>
        <v>70.065</v>
      </c>
      <c r="H90" s="27" t="n">
        <f aca="false">IF(G90&lt;$B$33,1,0)</f>
        <v>1</v>
      </c>
      <c r="I90" s="43" t="n">
        <f aca="false">H90*(1-$B$6)^(G90-$B$31)*(1+$B$30)^(-G90)</f>
        <v>0.398233509367737</v>
      </c>
      <c r="J90" s="43" t="n">
        <f aca="false">H90*(1-$B$6)^(G90-$B$31)*L90*(1+$B$5)^(-G90)</f>
        <v>0.926228966480407</v>
      </c>
      <c r="L90" s="43" t="n">
        <f aca="false">IF($B$7="Oui",1-(IF(($B$4+G90)&lt;=$L$11,$M$11,IF(($B$4+G90)&gt;=$L$12,$M$12,INDEX($M$11:$M$12,MATCH(($B$4+G90),$L$11:$L$12,1))+(INDEX($M$11:$M$12,MATCH(($B$4+G90),$L$11:$L$12,1)+1)-INDEX($M$11:$M$12,MATCH(($B$4+G90),$L$11:$L$12,1)))*(($B$4+G90)-INDEX($L$11:$L$12,MATCH(($B$4+G90),$L$11:$L$12,1)))/(INDEX($L$11:$L$12,MATCH(($B$4+G90),$L$11:$L$12,1)+1)-INDEX($L$11:$L$12,MATCH(($B$4+G90),$L$11:$L$12,1)))))),1)</f>
        <v>1</v>
      </c>
    </row>
    <row r="91" customFormat="false" ht="15" hidden="false" customHeight="false" outlineLevel="0" collapsed="false">
      <c r="A91" s="32" t="n">
        <f aca="false">$B$32+0.125+31*0.25</f>
        <v>30.985</v>
      </c>
      <c r="B91" s="27" t="n">
        <f aca="false">IF(A91&lt;$B$31,1,0)</f>
        <v>1</v>
      </c>
      <c r="C91" s="43" t="n">
        <f aca="false">IF($B$7="Oui",1+((IF(($B$4+A91)&lt;=$I$11,$J$11,IF(($B$4+A91)&gt;=$I$33,$J$33,INDEX($J$11:$J$33,MATCH(($B$4+A91),$I$11:$I$33,1))+(INDEX($J$11:$J$33,MATCH(($B$4+A91),$I$11:$I$33,1)+1)-INDEX($J$11:$J$33,MATCH(($B$4+A91),$I$11:$I$33,1)))*(($B$4+A91)-INDEX($I$11:$I$33,MATCH(($B$4+A91),$I$11:$I$33,1)))/(INDEX($I$11:$I$33,MATCH(($B$4+A91),$I$11:$I$33,1)+1)-INDEX($I$11:$I$33,MATCH(($B$4+A91),$I$11:$I$33,1))))))-(IF(($B$4+A91)&lt;=$L$11,$M$11,IF(($B$4+A91)&gt;=$L$12,$M$12,INDEX($M$11:$M$12,MATCH(($B$4+A91),$L$11:$L$12,1))+(INDEX($M$11:$M$12,MATCH(($B$4+A91),$L$11:$L$12,1)+1)-INDEX($M$11:$M$12,MATCH(($B$4+A91),$L$11:$L$12,1)))*(($B$4+A91)-INDEX($L$11:$L$12,MATCH(($B$4+A91),$L$11:$L$12,1)))/(INDEX($L$11:$L$12,MATCH(($B$4+A91),$L$11:$L$12,1)+1)-INDEX($L$11:$L$12,MATCH(($B$4+A91),$L$11:$L$12,1)))))))/(1-(IF(($B$4+A91)&lt;=$I$11,$J$11,IF(($B$4+A91)&gt;=$I$33,$J$33,INDEX($J$11:$J$33,MATCH(($B$4+A91),$I$11:$I$33,1))+(INDEX($J$11:$J$33,MATCH(($B$4+A91),$I$11:$I$33,1)+1)-INDEX($J$11:$J$33,MATCH(($B$4+A91),$I$11:$I$33,1)))*(($B$4+A91)-INDEX($I$11:$I$33,MATCH(($B$4+A91),$I$11:$I$33,1)))/(INDEX($I$11:$I$33,MATCH(($B$4+A91),$I$11:$I$33,1)+1)-INDEX($I$11:$I$33,MATCH(($B$4+A91),$I$11:$I$33,1))))))),1)</f>
        <v>1</v>
      </c>
      <c r="D91" s="43" t="n">
        <f aca="false">B91*(1+$B$30)^(-A91)</f>
        <v>0.688471978411229</v>
      </c>
      <c r="E91" s="43" t="n">
        <f aca="false">B91*C91*(1+$B$5)^(-A91)</f>
        <v>1</v>
      </c>
      <c r="G91" s="32" t="n">
        <f aca="false">$B$31+0.125+31*0.25</f>
        <v>70.315</v>
      </c>
      <c r="H91" s="27" t="n">
        <f aca="false">IF(G91&lt;$B$33,1,0)</f>
        <v>1</v>
      </c>
      <c r="I91" s="43" t="n">
        <f aca="false">H91*(1-$B$6)^(G91-$B$31)*(1+$B$30)^(-G91)</f>
        <v>0.396039586038598</v>
      </c>
      <c r="J91" s="43" t="n">
        <f aca="false">H91*(1-$B$6)^(G91-$B$31)*L91*(1+$B$5)^(-G91)</f>
        <v>0.923904659663626</v>
      </c>
      <c r="L91" s="43" t="n">
        <f aca="false">IF($B$7="Oui",1-(IF(($B$4+G91)&lt;=$L$11,$M$11,IF(($B$4+G91)&gt;=$L$12,$M$12,INDEX($M$11:$M$12,MATCH(($B$4+G91),$L$11:$L$12,1))+(INDEX($M$11:$M$12,MATCH(($B$4+G91),$L$11:$L$12,1)+1)-INDEX($M$11:$M$12,MATCH(($B$4+G91),$L$11:$L$12,1)))*(($B$4+G91)-INDEX($L$11:$L$12,MATCH(($B$4+G91),$L$11:$L$12,1)))/(INDEX($L$11:$L$12,MATCH(($B$4+G91),$L$11:$L$12,1)+1)-INDEX($L$11:$L$12,MATCH(($B$4+G91),$L$11:$L$12,1)))))),1)</f>
        <v>1</v>
      </c>
    </row>
    <row r="92" customFormat="false" ht="15" hidden="false" customHeight="false" outlineLevel="0" collapsed="false">
      <c r="A92" s="32" t="n">
        <f aca="false">$B$32+0.125+32*0.25</f>
        <v>31.235</v>
      </c>
      <c r="B92" s="27" t="n">
        <f aca="false">IF(A92&lt;$B$31,1,0)</f>
        <v>1</v>
      </c>
      <c r="C92" s="43" t="n">
        <f aca="false">IF($B$7="Oui",1+((IF(($B$4+A92)&lt;=$I$11,$J$11,IF(($B$4+A92)&gt;=$I$33,$J$33,INDEX($J$11:$J$33,MATCH(($B$4+A92),$I$11:$I$33,1))+(INDEX($J$11:$J$33,MATCH(($B$4+A92),$I$11:$I$33,1)+1)-INDEX($J$11:$J$33,MATCH(($B$4+A92),$I$11:$I$33,1)))*(($B$4+A92)-INDEX($I$11:$I$33,MATCH(($B$4+A92),$I$11:$I$33,1)))/(INDEX($I$11:$I$33,MATCH(($B$4+A92),$I$11:$I$33,1)+1)-INDEX($I$11:$I$33,MATCH(($B$4+A92),$I$11:$I$33,1))))))-(IF(($B$4+A92)&lt;=$L$11,$M$11,IF(($B$4+A92)&gt;=$L$12,$M$12,INDEX($M$11:$M$12,MATCH(($B$4+A92),$L$11:$L$12,1))+(INDEX($M$11:$M$12,MATCH(($B$4+A92),$L$11:$L$12,1)+1)-INDEX($M$11:$M$12,MATCH(($B$4+A92),$L$11:$L$12,1)))*(($B$4+A92)-INDEX($L$11:$L$12,MATCH(($B$4+A92),$L$11:$L$12,1)))/(INDEX($L$11:$L$12,MATCH(($B$4+A92),$L$11:$L$12,1)+1)-INDEX($L$11:$L$12,MATCH(($B$4+A92),$L$11:$L$12,1)))))))/(1-(IF(($B$4+A92)&lt;=$I$11,$J$11,IF(($B$4+A92)&gt;=$I$33,$J$33,INDEX($J$11:$J$33,MATCH(($B$4+A92),$I$11:$I$33,1))+(INDEX($J$11:$J$33,MATCH(($B$4+A92),$I$11:$I$33,1)+1)-INDEX($J$11:$J$33,MATCH(($B$4+A92),$I$11:$I$33,1)))*(($B$4+A92)-INDEX($I$11:$I$33,MATCH(($B$4+A92),$I$11:$I$33,1)))/(INDEX($I$11:$I$33,MATCH(($B$4+A92),$I$11:$I$33,1)+1)-INDEX($I$11:$I$33,MATCH(($B$4+A92),$I$11:$I$33,1))))))),1)</f>
        <v>1</v>
      </c>
      <c r="D92" s="43" t="n">
        <f aca="false">B92*(1+$B$30)^(-A92)</f>
        <v>0.686401568057678</v>
      </c>
      <c r="E92" s="43" t="n">
        <f aca="false">B92*C92*(1+$B$5)^(-A92)</f>
        <v>1</v>
      </c>
      <c r="G92" s="32" t="n">
        <f aca="false">$B$31+0.125+32*0.25</f>
        <v>70.565</v>
      </c>
      <c r="H92" s="27" t="n">
        <f aca="false">IF(G92&lt;$B$33,1,0)</f>
        <v>1</v>
      </c>
      <c r="I92" s="43" t="n">
        <f aca="false">H92*(1-$B$6)^(G92-$B$31)*(1+$B$30)^(-G92)</f>
        <v>0.393857749335675</v>
      </c>
      <c r="J92" s="43" t="n">
        <f aca="false">H92*(1-$B$6)^(G92-$B$31)*L92*(1+$B$5)^(-G92)</f>
        <v>0.921586185532254</v>
      </c>
      <c r="L92" s="43" t="n">
        <f aca="false">IF($B$7="Oui",1-(IF(($B$4+G92)&lt;=$L$11,$M$11,IF(($B$4+G92)&gt;=$L$12,$M$12,INDEX($M$11:$M$12,MATCH(($B$4+G92),$L$11:$L$12,1))+(INDEX($M$11:$M$12,MATCH(($B$4+G92),$L$11:$L$12,1)+1)-INDEX($M$11:$M$12,MATCH(($B$4+G92),$L$11:$L$12,1)))*(($B$4+G92)-INDEX($L$11:$L$12,MATCH(($B$4+G92),$L$11:$L$12,1)))/(INDEX($L$11:$L$12,MATCH(($B$4+G92),$L$11:$L$12,1)+1)-INDEX($L$11:$L$12,MATCH(($B$4+G92),$L$11:$L$12,1)))))),1)</f>
        <v>1</v>
      </c>
    </row>
    <row r="93" customFormat="false" ht="15" hidden="false" customHeight="false" outlineLevel="0" collapsed="false">
      <c r="A93" s="32" t="n">
        <f aca="false">$B$32+0.125+33*0.25</f>
        <v>31.485</v>
      </c>
      <c r="B93" s="27" t="n">
        <f aca="false">IF(A93&lt;$B$31,1,0)</f>
        <v>1</v>
      </c>
      <c r="C93" s="43" t="n">
        <f aca="false">IF($B$7="Oui",1+((IF(($B$4+A93)&lt;=$I$11,$J$11,IF(($B$4+A93)&gt;=$I$33,$J$33,INDEX($J$11:$J$33,MATCH(($B$4+A93),$I$11:$I$33,1))+(INDEX($J$11:$J$33,MATCH(($B$4+A93),$I$11:$I$33,1)+1)-INDEX($J$11:$J$33,MATCH(($B$4+A93),$I$11:$I$33,1)))*(($B$4+A93)-INDEX($I$11:$I$33,MATCH(($B$4+A93),$I$11:$I$33,1)))/(INDEX($I$11:$I$33,MATCH(($B$4+A93),$I$11:$I$33,1)+1)-INDEX($I$11:$I$33,MATCH(($B$4+A93),$I$11:$I$33,1))))))-(IF(($B$4+A93)&lt;=$L$11,$M$11,IF(($B$4+A93)&gt;=$L$12,$M$12,INDEX($M$11:$M$12,MATCH(($B$4+A93),$L$11:$L$12,1))+(INDEX($M$11:$M$12,MATCH(($B$4+A93),$L$11:$L$12,1)+1)-INDEX($M$11:$M$12,MATCH(($B$4+A93),$L$11:$L$12,1)))*(($B$4+A93)-INDEX($L$11:$L$12,MATCH(($B$4+A93),$L$11:$L$12,1)))/(INDEX($L$11:$L$12,MATCH(($B$4+A93),$L$11:$L$12,1)+1)-INDEX($L$11:$L$12,MATCH(($B$4+A93),$L$11:$L$12,1)))))))/(1-(IF(($B$4+A93)&lt;=$I$11,$J$11,IF(($B$4+A93)&gt;=$I$33,$J$33,INDEX($J$11:$J$33,MATCH(($B$4+A93),$I$11:$I$33,1))+(INDEX($J$11:$J$33,MATCH(($B$4+A93),$I$11:$I$33,1)+1)-INDEX($J$11:$J$33,MATCH(($B$4+A93),$I$11:$I$33,1)))*(($B$4+A93)-INDEX($I$11:$I$33,MATCH(($B$4+A93),$I$11:$I$33,1)))/(INDEX($I$11:$I$33,MATCH(($B$4+A93),$I$11:$I$33,1)+1)-INDEX($I$11:$I$33,MATCH(($B$4+A93),$I$11:$I$33,1))))))),1)</f>
        <v>1</v>
      </c>
      <c r="D93" s="43" t="n">
        <f aca="false">B93*(1+$B$30)^(-A93)</f>
        <v>0.684337383954675</v>
      </c>
      <c r="E93" s="43" t="n">
        <f aca="false">B93*C93*(1+$B$5)^(-A93)</f>
        <v>1</v>
      </c>
      <c r="G93" s="32" t="n">
        <f aca="false">$B$31+0.125+33*0.25</f>
        <v>70.815</v>
      </c>
      <c r="H93" s="27" t="n">
        <f aca="false">IF(G93&lt;$B$33,1,0)</f>
        <v>1</v>
      </c>
      <c r="I93" s="43" t="n">
        <f aca="false">H93*(1-$B$6)^(G93-$B$31)*(1+$B$30)^(-G93)</f>
        <v>0.391687932672076</v>
      </c>
      <c r="J93" s="43" t="n">
        <f aca="false">H93*(1-$B$6)^(G93-$B$31)*L93*(1+$B$5)^(-G93)</f>
        <v>0.919273529449575</v>
      </c>
      <c r="L93" s="43" t="n">
        <f aca="false">IF($B$7="Oui",1-(IF(($B$4+G93)&lt;=$L$11,$M$11,IF(($B$4+G93)&gt;=$L$12,$M$12,INDEX($M$11:$M$12,MATCH(($B$4+G93),$L$11:$L$12,1))+(INDEX($M$11:$M$12,MATCH(($B$4+G93),$L$11:$L$12,1)+1)-INDEX($M$11:$M$12,MATCH(($B$4+G93),$L$11:$L$12,1)))*(($B$4+G93)-INDEX($L$11:$L$12,MATCH(($B$4+G93),$L$11:$L$12,1)))/(INDEX($L$11:$L$12,MATCH(($B$4+G93),$L$11:$L$12,1)+1)-INDEX($L$11:$L$12,MATCH(($B$4+G93),$L$11:$L$12,1)))))),1)</f>
        <v>1</v>
      </c>
    </row>
    <row r="94" customFormat="false" ht="15" hidden="false" customHeight="false" outlineLevel="0" collapsed="false">
      <c r="A94" s="32" t="n">
        <f aca="false">$B$32+0.125+34*0.25</f>
        <v>31.735</v>
      </c>
      <c r="B94" s="27" t="n">
        <f aca="false">IF(A94&lt;$B$31,1,0)</f>
        <v>1</v>
      </c>
      <c r="C94" s="43" t="n">
        <f aca="false">IF($B$7="Oui",1+((IF(($B$4+A94)&lt;=$I$11,$J$11,IF(($B$4+A94)&gt;=$I$33,$J$33,INDEX($J$11:$J$33,MATCH(($B$4+A94),$I$11:$I$33,1))+(INDEX($J$11:$J$33,MATCH(($B$4+A94),$I$11:$I$33,1)+1)-INDEX($J$11:$J$33,MATCH(($B$4+A94),$I$11:$I$33,1)))*(($B$4+A94)-INDEX($I$11:$I$33,MATCH(($B$4+A94),$I$11:$I$33,1)))/(INDEX($I$11:$I$33,MATCH(($B$4+A94),$I$11:$I$33,1)+1)-INDEX($I$11:$I$33,MATCH(($B$4+A94),$I$11:$I$33,1))))))-(IF(($B$4+A94)&lt;=$L$11,$M$11,IF(($B$4+A94)&gt;=$L$12,$M$12,INDEX($M$11:$M$12,MATCH(($B$4+A94),$L$11:$L$12,1))+(INDEX($M$11:$M$12,MATCH(($B$4+A94),$L$11:$L$12,1)+1)-INDEX($M$11:$M$12,MATCH(($B$4+A94),$L$11:$L$12,1)))*(($B$4+A94)-INDEX($L$11:$L$12,MATCH(($B$4+A94),$L$11:$L$12,1)))/(INDEX($L$11:$L$12,MATCH(($B$4+A94),$L$11:$L$12,1)+1)-INDEX($L$11:$L$12,MATCH(($B$4+A94),$L$11:$L$12,1)))))))/(1-(IF(($B$4+A94)&lt;=$I$11,$J$11,IF(($B$4+A94)&gt;=$I$33,$J$33,INDEX($J$11:$J$33,MATCH(($B$4+A94),$I$11:$I$33,1))+(INDEX($J$11:$J$33,MATCH(($B$4+A94),$I$11:$I$33,1)+1)-INDEX($J$11:$J$33,MATCH(($B$4+A94),$I$11:$I$33,1)))*(($B$4+A94)-INDEX($I$11:$I$33,MATCH(($B$4+A94),$I$11:$I$33,1)))/(INDEX($I$11:$I$33,MATCH(($B$4+A94),$I$11:$I$33,1)+1)-INDEX($I$11:$I$33,MATCH(($B$4+A94),$I$11:$I$33,1))))))),1)</f>
        <v>1</v>
      </c>
      <c r="D94" s="43" t="n">
        <f aca="false">B94*(1+$B$30)^(-A94)</f>
        <v>0.682279407378298</v>
      </c>
      <c r="E94" s="43" t="n">
        <f aca="false">B94*C94*(1+$B$5)^(-A94)</f>
        <v>1</v>
      </c>
      <c r="G94" s="32" t="n">
        <f aca="false">$B$31+0.125+34*0.25</f>
        <v>71.065</v>
      </c>
      <c r="H94" s="27" t="n">
        <f aca="false">IF(G94&lt;$B$33,1,0)</f>
        <v>1</v>
      </c>
      <c r="I94" s="43" t="n">
        <f aca="false">H94*(1-$B$6)^(G94-$B$31)*(1+$B$30)^(-G94)</f>
        <v>0.389530069827747</v>
      </c>
      <c r="J94" s="43" t="n">
        <f aca="false">H94*(1-$B$6)^(G94-$B$31)*L94*(1+$B$5)^(-G94)</f>
        <v>0.916966676815603</v>
      </c>
      <c r="L94" s="43" t="n">
        <f aca="false">IF($B$7="Oui",1-(IF(($B$4+G94)&lt;=$L$11,$M$11,IF(($B$4+G94)&gt;=$L$12,$M$12,INDEX($M$11:$M$12,MATCH(($B$4+G94),$L$11:$L$12,1))+(INDEX($M$11:$M$12,MATCH(($B$4+G94),$L$11:$L$12,1)+1)-INDEX($M$11:$M$12,MATCH(($B$4+G94),$L$11:$L$12,1)))*(($B$4+G94)-INDEX($L$11:$L$12,MATCH(($B$4+G94),$L$11:$L$12,1)))/(INDEX($L$11:$L$12,MATCH(($B$4+G94),$L$11:$L$12,1)+1)-INDEX($L$11:$L$12,MATCH(($B$4+G94),$L$11:$L$12,1)))))),1)</f>
        <v>1</v>
      </c>
    </row>
    <row r="95" customFormat="false" ht="15" hidden="false" customHeight="false" outlineLevel="0" collapsed="false">
      <c r="A95" s="32" t="n">
        <f aca="false">$B$32+0.125+35*0.25</f>
        <v>31.985</v>
      </c>
      <c r="B95" s="27" t="n">
        <f aca="false">IF(A95&lt;$B$31,1,0)</f>
        <v>1</v>
      </c>
      <c r="C95" s="43" t="n">
        <f aca="false">IF($B$7="Oui",1+((IF(($B$4+A95)&lt;=$I$11,$J$11,IF(($B$4+A95)&gt;=$I$33,$J$33,INDEX($J$11:$J$33,MATCH(($B$4+A95),$I$11:$I$33,1))+(INDEX($J$11:$J$33,MATCH(($B$4+A95),$I$11:$I$33,1)+1)-INDEX($J$11:$J$33,MATCH(($B$4+A95),$I$11:$I$33,1)))*(($B$4+A95)-INDEX($I$11:$I$33,MATCH(($B$4+A95),$I$11:$I$33,1)))/(INDEX($I$11:$I$33,MATCH(($B$4+A95),$I$11:$I$33,1)+1)-INDEX($I$11:$I$33,MATCH(($B$4+A95),$I$11:$I$33,1))))))-(IF(($B$4+A95)&lt;=$L$11,$M$11,IF(($B$4+A95)&gt;=$L$12,$M$12,INDEX($M$11:$M$12,MATCH(($B$4+A95),$L$11:$L$12,1))+(INDEX($M$11:$M$12,MATCH(($B$4+A95),$L$11:$L$12,1)+1)-INDEX($M$11:$M$12,MATCH(($B$4+A95),$L$11:$L$12,1)))*(($B$4+A95)-INDEX($L$11:$L$12,MATCH(($B$4+A95),$L$11:$L$12,1)))/(INDEX($L$11:$L$12,MATCH(($B$4+A95),$L$11:$L$12,1)+1)-INDEX($L$11:$L$12,MATCH(($B$4+A95),$L$11:$L$12,1)))))))/(1-(IF(($B$4+A95)&lt;=$I$11,$J$11,IF(($B$4+A95)&gt;=$I$33,$J$33,INDEX($J$11:$J$33,MATCH(($B$4+A95),$I$11:$I$33,1))+(INDEX($J$11:$J$33,MATCH(($B$4+A95),$I$11:$I$33,1)+1)-INDEX($J$11:$J$33,MATCH(($B$4+A95),$I$11:$I$33,1)))*(($B$4+A95)-INDEX($I$11:$I$33,MATCH(($B$4+A95),$I$11:$I$33,1)))/(INDEX($I$11:$I$33,MATCH(($B$4+A95),$I$11:$I$33,1)+1)-INDEX($I$11:$I$33,MATCH(($B$4+A95),$I$11:$I$33,1))))))),1)</f>
        <v>1</v>
      </c>
      <c r="D95" s="43" t="n">
        <f aca="false">B95*(1+$B$30)^(-A95)</f>
        <v>0.680227619660939</v>
      </c>
      <c r="E95" s="43" t="n">
        <f aca="false">B95*C95*(1+$B$5)^(-A95)</f>
        <v>1</v>
      </c>
      <c r="G95" s="32" t="n">
        <f aca="false">$B$31+0.125+35*0.25</f>
        <v>71.315</v>
      </c>
      <c r="H95" s="27" t="n">
        <f aca="false">IF(G95&lt;$B$33,1,0)</f>
        <v>1</v>
      </c>
      <c r="I95" s="43" t="n">
        <f aca="false">H95*(1-$B$6)^(G95-$B$31)*(1+$B$30)^(-G95)</f>
        <v>0.387384094947449</v>
      </c>
      <c r="J95" s="43" t="n">
        <f aca="false">H95*(1-$B$6)^(G95-$B$31)*L95*(1+$B$5)^(-G95)</f>
        <v>0.914665613066989</v>
      </c>
      <c r="L95" s="43" t="n">
        <f aca="false">IF($B$7="Oui",1-(IF(($B$4+G95)&lt;=$L$11,$M$11,IF(($B$4+G95)&gt;=$L$12,$M$12,INDEX($M$11:$M$12,MATCH(($B$4+G95),$L$11:$L$12,1))+(INDEX($M$11:$M$12,MATCH(($B$4+G95),$L$11:$L$12,1)+1)-INDEX($M$11:$M$12,MATCH(($B$4+G95),$L$11:$L$12,1)))*(($B$4+G95)-INDEX($L$11:$L$12,MATCH(($B$4+G95),$L$11:$L$12,1)))/(INDEX($L$11:$L$12,MATCH(($B$4+G95),$L$11:$L$12,1)+1)-INDEX($L$11:$L$12,MATCH(($B$4+G95),$L$11:$L$12,1)))))),1)</f>
        <v>1</v>
      </c>
    </row>
    <row r="96" customFormat="false" ht="15" hidden="false" customHeight="false" outlineLevel="0" collapsed="false">
      <c r="A96" s="32" t="n">
        <f aca="false">$B$32+0.125+36*0.25</f>
        <v>32.235</v>
      </c>
      <c r="B96" s="27" t="n">
        <f aca="false">IF(A96&lt;$B$31,1,0)</f>
        <v>1</v>
      </c>
      <c r="C96" s="43" t="n">
        <f aca="false">IF($B$7="Oui",1+((IF(($B$4+A96)&lt;=$I$11,$J$11,IF(($B$4+A96)&gt;=$I$33,$J$33,INDEX($J$11:$J$33,MATCH(($B$4+A96),$I$11:$I$33,1))+(INDEX($J$11:$J$33,MATCH(($B$4+A96),$I$11:$I$33,1)+1)-INDEX($J$11:$J$33,MATCH(($B$4+A96),$I$11:$I$33,1)))*(($B$4+A96)-INDEX($I$11:$I$33,MATCH(($B$4+A96),$I$11:$I$33,1)))/(INDEX($I$11:$I$33,MATCH(($B$4+A96),$I$11:$I$33,1)+1)-INDEX($I$11:$I$33,MATCH(($B$4+A96),$I$11:$I$33,1))))))-(IF(($B$4+A96)&lt;=$L$11,$M$11,IF(($B$4+A96)&gt;=$L$12,$M$12,INDEX($M$11:$M$12,MATCH(($B$4+A96),$L$11:$L$12,1))+(INDEX($M$11:$M$12,MATCH(($B$4+A96),$L$11:$L$12,1)+1)-INDEX($M$11:$M$12,MATCH(($B$4+A96),$L$11:$L$12,1)))*(($B$4+A96)-INDEX($L$11:$L$12,MATCH(($B$4+A96),$L$11:$L$12,1)))/(INDEX($L$11:$L$12,MATCH(($B$4+A96),$L$11:$L$12,1)+1)-INDEX($L$11:$L$12,MATCH(($B$4+A96),$L$11:$L$12,1)))))))/(1-(IF(($B$4+A96)&lt;=$I$11,$J$11,IF(($B$4+A96)&gt;=$I$33,$J$33,INDEX($J$11:$J$33,MATCH(($B$4+A96),$I$11:$I$33,1))+(INDEX($J$11:$J$33,MATCH(($B$4+A96),$I$11:$I$33,1)+1)-INDEX($J$11:$J$33,MATCH(($B$4+A96),$I$11:$I$33,1)))*(($B$4+A96)-INDEX($I$11:$I$33,MATCH(($B$4+A96),$I$11:$I$33,1)))/(INDEX($I$11:$I$33,MATCH(($B$4+A96),$I$11:$I$33,1)+1)-INDEX($I$11:$I$33,MATCH(($B$4+A96),$I$11:$I$33,1))))))),1)</f>
        <v>1</v>
      </c>
      <c r="D96" s="43" t="n">
        <f aca="false">B96*(1+$B$30)^(-A96)</f>
        <v>0.678182002191122</v>
      </c>
      <c r="E96" s="43" t="n">
        <f aca="false">B96*C96*(1+$B$5)^(-A96)</f>
        <v>1</v>
      </c>
      <c r="G96" s="32" t="n">
        <f aca="false">$B$31+0.125+36*0.25</f>
        <v>71.565</v>
      </c>
      <c r="H96" s="27" t="n">
        <f aca="false">IF(G96&lt;$B$33,1,0)</f>
        <v>1</v>
      </c>
      <c r="I96" s="43" t="n">
        <f aca="false">H96*(1-$B$6)^(G96-$B$31)*(1+$B$30)^(-G96)</f>
        <v>0.385249942538748</v>
      </c>
      <c r="J96" s="43" t="n">
        <f aca="false">H96*(1-$B$6)^(G96-$B$31)*L96*(1+$B$5)^(-G96)</f>
        <v>0.912370323676931</v>
      </c>
      <c r="L96" s="43" t="n">
        <f aca="false">IF($B$7="Oui",1-(IF(($B$4+G96)&lt;=$L$11,$M$11,IF(($B$4+G96)&gt;=$L$12,$M$12,INDEX($M$11:$M$12,MATCH(($B$4+G96),$L$11:$L$12,1))+(INDEX($M$11:$M$12,MATCH(($B$4+G96),$L$11:$L$12,1)+1)-INDEX($M$11:$M$12,MATCH(($B$4+G96),$L$11:$L$12,1)))*(($B$4+G96)-INDEX($L$11:$L$12,MATCH(($B$4+G96),$L$11:$L$12,1)))/(INDEX($L$11:$L$12,MATCH(($B$4+G96),$L$11:$L$12,1)+1)-INDEX($L$11:$L$12,MATCH(($B$4+G96),$L$11:$L$12,1)))))),1)</f>
        <v>1</v>
      </c>
    </row>
    <row r="97" customFormat="false" ht="15" hidden="false" customHeight="false" outlineLevel="0" collapsed="false">
      <c r="A97" s="32" t="n">
        <f aca="false">$B$32+0.125+37*0.25</f>
        <v>32.485</v>
      </c>
      <c r="B97" s="27" t="n">
        <f aca="false">IF(A97&lt;$B$31,1,0)</f>
        <v>1</v>
      </c>
      <c r="C97" s="43" t="n">
        <f aca="false">IF($B$7="Oui",1+((IF(($B$4+A97)&lt;=$I$11,$J$11,IF(($B$4+A97)&gt;=$I$33,$J$33,INDEX($J$11:$J$33,MATCH(($B$4+A97),$I$11:$I$33,1))+(INDEX($J$11:$J$33,MATCH(($B$4+A97),$I$11:$I$33,1)+1)-INDEX($J$11:$J$33,MATCH(($B$4+A97),$I$11:$I$33,1)))*(($B$4+A97)-INDEX($I$11:$I$33,MATCH(($B$4+A97),$I$11:$I$33,1)))/(INDEX($I$11:$I$33,MATCH(($B$4+A97),$I$11:$I$33,1)+1)-INDEX($I$11:$I$33,MATCH(($B$4+A97),$I$11:$I$33,1))))))-(IF(($B$4+A97)&lt;=$L$11,$M$11,IF(($B$4+A97)&gt;=$L$12,$M$12,INDEX($M$11:$M$12,MATCH(($B$4+A97),$L$11:$L$12,1))+(INDEX($M$11:$M$12,MATCH(($B$4+A97),$L$11:$L$12,1)+1)-INDEX($M$11:$M$12,MATCH(($B$4+A97),$L$11:$L$12,1)))*(($B$4+A97)-INDEX($L$11:$L$12,MATCH(($B$4+A97),$L$11:$L$12,1)))/(INDEX($L$11:$L$12,MATCH(($B$4+A97),$L$11:$L$12,1)+1)-INDEX($L$11:$L$12,MATCH(($B$4+A97),$L$11:$L$12,1)))))))/(1-(IF(($B$4+A97)&lt;=$I$11,$J$11,IF(($B$4+A97)&gt;=$I$33,$J$33,INDEX($J$11:$J$33,MATCH(($B$4+A97),$I$11:$I$33,1))+(INDEX($J$11:$J$33,MATCH(($B$4+A97),$I$11:$I$33,1)+1)-INDEX($J$11:$J$33,MATCH(($B$4+A97),$I$11:$I$33,1)))*(($B$4+A97)-INDEX($I$11:$I$33,MATCH(($B$4+A97),$I$11:$I$33,1)))/(INDEX($I$11:$I$33,MATCH(($B$4+A97),$I$11:$I$33,1)+1)-INDEX($I$11:$I$33,MATCH(($B$4+A97),$I$11:$I$33,1))))))),1)</f>
        <v>1</v>
      </c>
      <c r="D97" s="43" t="n">
        <f aca="false">B97*(1+$B$30)^(-A97)</f>
        <v>0.676142536413345</v>
      </c>
      <c r="E97" s="43" t="n">
        <f aca="false">B97*C97*(1+$B$5)^(-A97)</f>
        <v>1</v>
      </c>
      <c r="G97" s="32" t="n">
        <f aca="false">$B$31+0.125+37*0.25</f>
        <v>71.815</v>
      </c>
      <c r="H97" s="27" t="n">
        <f aca="false">IF(G97&lt;$B$33,1,0)</f>
        <v>1</v>
      </c>
      <c r="I97" s="43" t="n">
        <f aca="false">H97*(1-$B$6)^(G97-$B$31)*(1+$B$30)^(-G97)</f>
        <v>0.383127547470019</v>
      </c>
      <c r="J97" s="43" t="n">
        <f aca="false">H97*(1-$B$6)^(G97-$B$31)*L97*(1+$B$5)^(-G97)</f>
        <v>0.910080794155079</v>
      </c>
      <c r="L97" s="43" t="n">
        <f aca="false">IF($B$7="Oui",1-(IF(($B$4+G97)&lt;=$L$11,$M$11,IF(($B$4+G97)&gt;=$L$12,$M$12,INDEX($M$11:$M$12,MATCH(($B$4+G97),$L$11:$L$12,1))+(INDEX($M$11:$M$12,MATCH(($B$4+G97),$L$11:$L$12,1)+1)-INDEX($M$11:$M$12,MATCH(($B$4+G97),$L$11:$L$12,1)))*(($B$4+G97)-INDEX($L$11:$L$12,MATCH(($B$4+G97),$L$11:$L$12,1)))/(INDEX($L$11:$L$12,MATCH(($B$4+G97),$L$11:$L$12,1)+1)-INDEX($L$11:$L$12,MATCH(($B$4+G97),$L$11:$L$12,1)))))),1)</f>
        <v>1</v>
      </c>
    </row>
    <row r="98" customFormat="false" ht="15" hidden="false" customHeight="false" outlineLevel="0" collapsed="false">
      <c r="A98" s="32" t="n">
        <f aca="false">$B$32+0.125+38*0.25</f>
        <v>32.735</v>
      </c>
      <c r="B98" s="27" t="n">
        <f aca="false">IF(A98&lt;$B$31,1,0)</f>
        <v>1</v>
      </c>
      <c r="C98" s="43" t="n">
        <f aca="false">IF($B$7="Oui",1+((IF(($B$4+A98)&lt;=$I$11,$J$11,IF(($B$4+A98)&gt;=$I$33,$J$33,INDEX($J$11:$J$33,MATCH(($B$4+A98),$I$11:$I$33,1))+(INDEX($J$11:$J$33,MATCH(($B$4+A98),$I$11:$I$33,1)+1)-INDEX($J$11:$J$33,MATCH(($B$4+A98),$I$11:$I$33,1)))*(($B$4+A98)-INDEX($I$11:$I$33,MATCH(($B$4+A98),$I$11:$I$33,1)))/(INDEX($I$11:$I$33,MATCH(($B$4+A98),$I$11:$I$33,1)+1)-INDEX($I$11:$I$33,MATCH(($B$4+A98),$I$11:$I$33,1))))))-(IF(($B$4+A98)&lt;=$L$11,$M$11,IF(($B$4+A98)&gt;=$L$12,$M$12,INDEX($M$11:$M$12,MATCH(($B$4+A98),$L$11:$L$12,1))+(INDEX($M$11:$M$12,MATCH(($B$4+A98),$L$11:$L$12,1)+1)-INDEX($M$11:$M$12,MATCH(($B$4+A98),$L$11:$L$12,1)))*(($B$4+A98)-INDEX($L$11:$L$12,MATCH(($B$4+A98),$L$11:$L$12,1)))/(INDEX($L$11:$L$12,MATCH(($B$4+A98),$L$11:$L$12,1)+1)-INDEX($L$11:$L$12,MATCH(($B$4+A98),$L$11:$L$12,1)))))))/(1-(IF(($B$4+A98)&lt;=$I$11,$J$11,IF(($B$4+A98)&gt;=$I$33,$J$33,INDEX($J$11:$J$33,MATCH(($B$4+A98),$I$11:$I$33,1))+(INDEX($J$11:$J$33,MATCH(($B$4+A98),$I$11:$I$33,1)+1)-INDEX($J$11:$J$33,MATCH(($B$4+A98),$I$11:$I$33,1)))*(($B$4+A98)-INDEX($I$11:$I$33,MATCH(($B$4+A98),$I$11:$I$33,1)))/(INDEX($I$11:$I$33,MATCH(($B$4+A98),$I$11:$I$33,1)+1)-INDEX($I$11:$I$33,MATCH(($B$4+A98),$I$11:$I$33,1))))))),1)</f>
        <v>1</v>
      </c>
      <c r="D98" s="43" t="n">
        <f aca="false">B98*(1+$B$30)^(-A98)</f>
        <v>0.674109203827904</v>
      </c>
      <c r="E98" s="43" t="n">
        <f aca="false">B98*C98*(1+$B$5)^(-A98)</f>
        <v>1</v>
      </c>
      <c r="G98" s="32" t="n">
        <f aca="false">$B$31+0.125+38*0.25</f>
        <v>72.065</v>
      </c>
      <c r="H98" s="27" t="n">
        <f aca="false">IF(G98&lt;$B$33,1,0)</f>
        <v>1</v>
      </c>
      <c r="I98" s="43" t="n">
        <f aca="false">H98*(1-$B$6)^(G98-$B$31)*(1+$B$30)^(-G98)</f>
        <v>0.381016844968452</v>
      </c>
      <c r="J98" s="43" t="n">
        <f aca="false">H98*(1-$B$6)^(G98-$B$31)*L98*(1+$B$5)^(-G98)</f>
        <v>0.907797010047447</v>
      </c>
      <c r="L98" s="43" t="n">
        <f aca="false">IF($B$7="Oui",1-(IF(($B$4+G98)&lt;=$L$11,$M$11,IF(($B$4+G98)&gt;=$L$12,$M$12,INDEX($M$11:$M$12,MATCH(($B$4+G98),$L$11:$L$12,1))+(INDEX($M$11:$M$12,MATCH(($B$4+G98),$L$11:$L$12,1)+1)-INDEX($M$11:$M$12,MATCH(($B$4+G98),$L$11:$L$12,1)))*(($B$4+G98)-INDEX($L$11:$L$12,MATCH(($B$4+G98),$L$11:$L$12,1)))/(INDEX($L$11:$L$12,MATCH(($B$4+G98),$L$11:$L$12,1)+1)-INDEX($L$11:$L$12,MATCH(($B$4+G98),$L$11:$L$12,1)))))),1)</f>
        <v>1</v>
      </c>
    </row>
    <row r="99" customFormat="false" ht="15" hidden="false" customHeight="false" outlineLevel="0" collapsed="false">
      <c r="A99" s="32" t="n">
        <f aca="false">$B$32+0.125+39*0.25</f>
        <v>32.985</v>
      </c>
      <c r="B99" s="27" t="n">
        <f aca="false">IF(A99&lt;$B$31,1,0)</f>
        <v>1</v>
      </c>
      <c r="C99" s="43" t="n">
        <f aca="false">IF($B$7="Oui",1+((IF(($B$4+A99)&lt;=$I$11,$J$11,IF(($B$4+A99)&gt;=$I$33,$J$33,INDEX($J$11:$J$33,MATCH(($B$4+A99),$I$11:$I$33,1))+(INDEX($J$11:$J$33,MATCH(($B$4+A99),$I$11:$I$33,1)+1)-INDEX($J$11:$J$33,MATCH(($B$4+A99),$I$11:$I$33,1)))*(($B$4+A99)-INDEX($I$11:$I$33,MATCH(($B$4+A99),$I$11:$I$33,1)))/(INDEX($I$11:$I$33,MATCH(($B$4+A99),$I$11:$I$33,1)+1)-INDEX($I$11:$I$33,MATCH(($B$4+A99),$I$11:$I$33,1))))))-(IF(($B$4+A99)&lt;=$L$11,$M$11,IF(($B$4+A99)&gt;=$L$12,$M$12,INDEX($M$11:$M$12,MATCH(($B$4+A99),$L$11:$L$12,1))+(INDEX($M$11:$M$12,MATCH(($B$4+A99),$L$11:$L$12,1)+1)-INDEX($M$11:$M$12,MATCH(($B$4+A99),$L$11:$L$12,1)))*(($B$4+A99)-INDEX($L$11:$L$12,MATCH(($B$4+A99),$L$11:$L$12,1)))/(INDEX($L$11:$L$12,MATCH(($B$4+A99),$L$11:$L$12,1)+1)-INDEX($L$11:$L$12,MATCH(($B$4+A99),$L$11:$L$12,1)))))))/(1-(IF(($B$4+A99)&lt;=$I$11,$J$11,IF(($B$4+A99)&gt;=$I$33,$J$33,INDEX($J$11:$J$33,MATCH(($B$4+A99),$I$11:$I$33,1))+(INDEX($J$11:$J$33,MATCH(($B$4+A99),$I$11:$I$33,1)+1)-INDEX($J$11:$J$33,MATCH(($B$4+A99),$I$11:$I$33,1)))*(($B$4+A99)-INDEX($I$11:$I$33,MATCH(($B$4+A99),$I$11:$I$33,1)))/(INDEX($I$11:$I$33,MATCH(($B$4+A99),$I$11:$I$33,1)+1)-INDEX($I$11:$I$33,MATCH(($B$4+A99),$I$11:$I$33,1))))))),1)</f>
        <v>1</v>
      </c>
      <c r="D99" s="43" t="n">
        <f aca="false">B99*(1+$B$30)^(-A99)</f>
        <v>0.672081985990731</v>
      </c>
      <c r="E99" s="43" t="n">
        <f aca="false">B99*C99*(1+$B$5)^(-A99)</f>
        <v>1</v>
      </c>
      <c r="G99" s="32" t="n">
        <f aca="false">$B$31+0.125+39*0.25</f>
        <v>72.315</v>
      </c>
      <c r="H99" s="27" t="n">
        <f aca="false">IF(G99&lt;$B$33,1,0)</f>
        <v>1</v>
      </c>
      <c r="I99" s="43" t="n">
        <f aca="false">H99*(1-$B$6)^(G99-$B$31)*(1+$B$30)^(-G99)</f>
        <v>0.378917770618083</v>
      </c>
      <c r="J99" s="43" t="n">
        <f aca="false">H99*(1-$B$6)^(G99-$B$31)*L99*(1+$B$5)^(-G99)</f>
        <v>0.905518956936319</v>
      </c>
      <c r="L99" s="43" t="n">
        <f aca="false">IF($B$7="Oui",1-(IF(($B$4+G99)&lt;=$L$11,$M$11,IF(($B$4+G99)&gt;=$L$12,$M$12,INDEX($M$11:$M$12,MATCH(($B$4+G99),$L$11:$L$12,1))+(INDEX($M$11:$M$12,MATCH(($B$4+G99),$L$11:$L$12,1)+1)-INDEX($M$11:$M$12,MATCH(($B$4+G99),$L$11:$L$12,1)))*(($B$4+G99)-INDEX($L$11:$L$12,MATCH(($B$4+G99),$L$11:$L$12,1)))/(INDEX($L$11:$L$12,MATCH(($B$4+G99),$L$11:$L$12,1)+1)-INDEX($L$11:$L$12,MATCH(($B$4+G99),$L$11:$L$12,1)))))),1)</f>
        <v>1</v>
      </c>
    </row>
    <row r="100" customFormat="false" ht="15" hidden="false" customHeight="false" outlineLevel="0" collapsed="false">
      <c r="A100" s="32" t="n">
        <f aca="false">$B$32+0.125+40*0.25</f>
        <v>33.235</v>
      </c>
      <c r="B100" s="27" t="n">
        <f aca="false">IF(A100&lt;$B$31,1,0)</f>
        <v>1</v>
      </c>
      <c r="C100" s="43" t="n">
        <f aca="false">IF($B$7="Oui",1+((IF(($B$4+A100)&lt;=$I$11,$J$11,IF(($B$4+A100)&gt;=$I$33,$J$33,INDEX($J$11:$J$33,MATCH(($B$4+A100),$I$11:$I$33,1))+(INDEX($J$11:$J$33,MATCH(($B$4+A100),$I$11:$I$33,1)+1)-INDEX($J$11:$J$33,MATCH(($B$4+A100),$I$11:$I$33,1)))*(($B$4+A100)-INDEX($I$11:$I$33,MATCH(($B$4+A100),$I$11:$I$33,1)))/(INDEX($I$11:$I$33,MATCH(($B$4+A100),$I$11:$I$33,1)+1)-INDEX($I$11:$I$33,MATCH(($B$4+A100),$I$11:$I$33,1))))))-(IF(($B$4+A100)&lt;=$L$11,$M$11,IF(($B$4+A100)&gt;=$L$12,$M$12,INDEX($M$11:$M$12,MATCH(($B$4+A100),$L$11:$L$12,1))+(INDEX($M$11:$M$12,MATCH(($B$4+A100),$L$11:$L$12,1)+1)-INDEX($M$11:$M$12,MATCH(($B$4+A100),$L$11:$L$12,1)))*(($B$4+A100)-INDEX($L$11:$L$12,MATCH(($B$4+A100),$L$11:$L$12,1)))/(INDEX($L$11:$L$12,MATCH(($B$4+A100),$L$11:$L$12,1)+1)-INDEX($L$11:$L$12,MATCH(($B$4+A100),$L$11:$L$12,1)))))))/(1-(IF(($B$4+A100)&lt;=$I$11,$J$11,IF(($B$4+A100)&gt;=$I$33,$J$33,INDEX($J$11:$J$33,MATCH(($B$4+A100),$I$11:$I$33,1))+(INDEX($J$11:$J$33,MATCH(($B$4+A100),$I$11:$I$33,1)+1)-INDEX($J$11:$J$33,MATCH(($B$4+A100),$I$11:$I$33,1)))*(($B$4+A100)-INDEX($I$11:$I$33,MATCH(($B$4+A100),$I$11:$I$33,1)))/(INDEX($I$11:$I$33,MATCH(($B$4+A100),$I$11:$I$33,1)+1)-INDEX($I$11:$I$33,MATCH(($B$4+A100),$I$11:$I$33,1))))))),1)</f>
        <v>1</v>
      </c>
      <c r="D100" s="43" t="n">
        <f aca="false">B100*(1+$B$30)^(-A100)</f>
        <v>0.670060864513222</v>
      </c>
      <c r="E100" s="43" t="n">
        <f aca="false">B100*C100*(1+$B$5)^(-A100)</f>
        <v>1</v>
      </c>
      <c r="G100" s="32" t="n">
        <f aca="false">$B$31+0.125+40*0.25</f>
        <v>72.565</v>
      </c>
      <c r="H100" s="27" t="n">
        <f aca="false">IF(G100&lt;$B$33,1,0)</f>
        <v>1</v>
      </c>
      <c r="I100" s="43" t="n">
        <f aca="false">H100*(1-$B$6)^(G100-$B$31)*(1+$B$30)^(-G100)</f>
        <v>0.376830260357824</v>
      </c>
      <c r="J100" s="43" t="n">
        <f aca="false">H100*(1-$B$6)^(G100-$B$31)*L100*(1+$B$5)^(-G100)</f>
        <v>0.903246620440162</v>
      </c>
      <c r="L100" s="43" t="n">
        <f aca="false">IF($B$7="Oui",1-(IF(($B$4+G100)&lt;=$L$11,$M$11,IF(($B$4+G100)&gt;=$L$12,$M$12,INDEX($M$11:$M$12,MATCH(($B$4+G100),$L$11:$L$12,1))+(INDEX($M$11:$M$12,MATCH(($B$4+G100),$L$11:$L$12,1)+1)-INDEX($M$11:$M$12,MATCH(($B$4+G100),$L$11:$L$12,1)))*(($B$4+G100)-INDEX($L$11:$L$12,MATCH(($B$4+G100),$L$11:$L$12,1)))/(INDEX($L$11:$L$12,MATCH(($B$4+G100),$L$11:$L$12,1)+1)-INDEX($L$11:$L$12,MATCH(($B$4+G100),$L$11:$L$12,1)))))),1)</f>
        <v>1</v>
      </c>
    </row>
    <row r="101" customFormat="false" ht="15" hidden="false" customHeight="false" outlineLevel="0" collapsed="false">
      <c r="A101" s="32" t="n">
        <f aca="false">$B$32+0.125+41*0.25</f>
        <v>33.485</v>
      </c>
      <c r="B101" s="27" t="n">
        <f aca="false">IF(A101&lt;$B$31,1,0)</f>
        <v>1</v>
      </c>
      <c r="C101" s="43" t="n">
        <f aca="false">IF($B$7="Oui",1+((IF(($B$4+A101)&lt;=$I$11,$J$11,IF(($B$4+A101)&gt;=$I$33,$J$33,INDEX($J$11:$J$33,MATCH(($B$4+A101),$I$11:$I$33,1))+(INDEX($J$11:$J$33,MATCH(($B$4+A101),$I$11:$I$33,1)+1)-INDEX($J$11:$J$33,MATCH(($B$4+A101),$I$11:$I$33,1)))*(($B$4+A101)-INDEX($I$11:$I$33,MATCH(($B$4+A101),$I$11:$I$33,1)))/(INDEX($I$11:$I$33,MATCH(($B$4+A101),$I$11:$I$33,1)+1)-INDEX($I$11:$I$33,MATCH(($B$4+A101),$I$11:$I$33,1))))))-(IF(($B$4+A101)&lt;=$L$11,$M$11,IF(($B$4+A101)&gt;=$L$12,$M$12,INDEX($M$11:$M$12,MATCH(($B$4+A101),$L$11:$L$12,1))+(INDEX($M$11:$M$12,MATCH(($B$4+A101),$L$11:$L$12,1)+1)-INDEX($M$11:$M$12,MATCH(($B$4+A101),$L$11:$L$12,1)))*(($B$4+A101)-INDEX($L$11:$L$12,MATCH(($B$4+A101),$L$11:$L$12,1)))/(INDEX($L$11:$L$12,MATCH(($B$4+A101),$L$11:$L$12,1)+1)-INDEX($L$11:$L$12,MATCH(($B$4+A101),$L$11:$L$12,1)))))))/(1-(IF(($B$4+A101)&lt;=$I$11,$J$11,IF(($B$4+A101)&gt;=$I$33,$J$33,INDEX($J$11:$J$33,MATCH(($B$4+A101),$I$11:$I$33,1))+(INDEX($J$11:$J$33,MATCH(($B$4+A101),$I$11:$I$33,1)+1)-INDEX($J$11:$J$33,MATCH(($B$4+A101),$I$11:$I$33,1)))*(($B$4+A101)-INDEX($I$11:$I$33,MATCH(($B$4+A101),$I$11:$I$33,1)))/(INDEX($I$11:$I$33,MATCH(($B$4+A101),$I$11:$I$33,1)+1)-INDEX($I$11:$I$33,MATCH(($B$4+A101),$I$11:$I$33,1))))))),1)</f>
        <v>1</v>
      </c>
      <c r="D101" s="43" t="n">
        <f aca="false">B101*(1+$B$30)^(-A101)</f>
        <v>0.668045821062073</v>
      </c>
      <c r="E101" s="43" t="n">
        <f aca="false">B101*C101*(1+$B$5)^(-A101)</f>
        <v>1</v>
      </c>
      <c r="G101" s="32" t="n">
        <f aca="false">$B$31+0.125+41*0.25</f>
        <v>72.815</v>
      </c>
      <c r="H101" s="27" t="n">
        <f aca="false">IF(G101&lt;$B$33,1,0)</f>
        <v>1</v>
      </c>
      <c r="I101" s="43" t="n">
        <f aca="false">H101*(1-$B$6)^(G101-$B$31)*(1+$B$30)^(-G101)</f>
        <v>0.374754250479507</v>
      </c>
      <c r="J101" s="43" t="n">
        <f aca="false">H101*(1-$B$6)^(G101-$B$31)*L101*(1+$B$5)^(-G101)</f>
        <v>0.900979986213528</v>
      </c>
      <c r="L101" s="43" t="n">
        <f aca="false">IF($B$7="Oui",1-(IF(($B$4+G101)&lt;=$L$11,$M$11,IF(($B$4+G101)&gt;=$L$12,$M$12,INDEX($M$11:$M$12,MATCH(($B$4+G101),$L$11:$L$12,1))+(INDEX($M$11:$M$12,MATCH(($B$4+G101),$L$11:$L$12,1)+1)-INDEX($M$11:$M$12,MATCH(($B$4+G101),$L$11:$L$12,1)))*(($B$4+G101)-INDEX($L$11:$L$12,MATCH(($B$4+G101),$L$11:$L$12,1)))/(INDEX($L$11:$L$12,MATCH(($B$4+G101),$L$11:$L$12,1)+1)-INDEX($L$11:$L$12,MATCH(($B$4+G101),$L$11:$L$12,1)))))),1)</f>
        <v>1</v>
      </c>
    </row>
    <row r="102" customFormat="false" ht="15" hidden="false" customHeight="false" outlineLevel="0" collapsed="false">
      <c r="A102" s="32" t="n">
        <f aca="false">$B$32+0.125+42*0.25</f>
        <v>33.735</v>
      </c>
      <c r="B102" s="27" t="n">
        <f aca="false">IF(A102&lt;$B$31,1,0)</f>
        <v>1</v>
      </c>
      <c r="C102" s="43" t="n">
        <f aca="false">IF($B$7="Oui",1+((IF(($B$4+A102)&lt;=$I$11,$J$11,IF(($B$4+A102)&gt;=$I$33,$J$33,INDEX($J$11:$J$33,MATCH(($B$4+A102),$I$11:$I$33,1))+(INDEX($J$11:$J$33,MATCH(($B$4+A102),$I$11:$I$33,1)+1)-INDEX($J$11:$J$33,MATCH(($B$4+A102),$I$11:$I$33,1)))*(($B$4+A102)-INDEX($I$11:$I$33,MATCH(($B$4+A102),$I$11:$I$33,1)))/(INDEX($I$11:$I$33,MATCH(($B$4+A102),$I$11:$I$33,1)+1)-INDEX($I$11:$I$33,MATCH(($B$4+A102),$I$11:$I$33,1))))))-(IF(($B$4+A102)&lt;=$L$11,$M$11,IF(($B$4+A102)&gt;=$L$12,$M$12,INDEX($M$11:$M$12,MATCH(($B$4+A102),$L$11:$L$12,1))+(INDEX($M$11:$M$12,MATCH(($B$4+A102),$L$11:$L$12,1)+1)-INDEX($M$11:$M$12,MATCH(($B$4+A102),$L$11:$L$12,1)))*(($B$4+A102)-INDEX($L$11:$L$12,MATCH(($B$4+A102),$L$11:$L$12,1)))/(INDEX($L$11:$L$12,MATCH(($B$4+A102),$L$11:$L$12,1)+1)-INDEX($L$11:$L$12,MATCH(($B$4+A102),$L$11:$L$12,1)))))))/(1-(IF(($B$4+A102)&lt;=$I$11,$J$11,IF(($B$4+A102)&gt;=$I$33,$J$33,INDEX($J$11:$J$33,MATCH(($B$4+A102),$I$11:$I$33,1))+(INDEX($J$11:$J$33,MATCH(($B$4+A102),$I$11:$I$33,1)+1)-INDEX($J$11:$J$33,MATCH(($B$4+A102),$I$11:$I$33,1)))*(($B$4+A102)-INDEX($I$11:$I$33,MATCH(($B$4+A102),$I$11:$I$33,1)))/(INDEX($I$11:$I$33,MATCH(($B$4+A102),$I$11:$I$33,1)+1)-INDEX($I$11:$I$33,MATCH(($B$4+A102),$I$11:$I$33,1))))))),1)</f>
        <v>1</v>
      </c>
      <c r="D102" s="43" t="n">
        <f aca="false">B102*(1+$B$30)^(-A102)</f>
        <v>0.666036837359112</v>
      </c>
      <c r="E102" s="43" t="n">
        <f aca="false">B102*C102*(1+$B$5)^(-A102)</f>
        <v>1</v>
      </c>
      <c r="G102" s="32" t="n">
        <f aca="false">$B$31+0.125+42*0.25</f>
        <v>73.065</v>
      </c>
      <c r="H102" s="27" t="n">
        <f aca="false">IF(G102&lt;$B$33,1,0)</f>
        <v>1</v>
      </c>
      <c r="I102" s="43" t="n">
        <f aca="false">H102*(1-$B$6)^(G102-$B$31)*(1+$B$30)^(-G102)</f>
        <v>0.372689677625941</v>
      </c>
      <c r="J102" s="43" t="n">
        <f aca="false">H102*(1-$B$6)^(G102-$B$31)*L102*(1+$B$5)^(-G102)</f>
        <v>0.898719039946972</v>
      </c>
      <c r="L102" s="43" t="n">
        <f aca="false">IF($B$7="Oui",1-(IF(($B$4+G102)&lt;=$L$11,$M$11,IF(($B$4+G102)&gt;=$L$12,$M$12,INDEX($M$11:$M$12,MATCH(($B$4+G102),$L$11:$L$12,1))+(INDEX($M$11:$M$12,MATCH(($B$4+G102),$L$11:$L$12,1)+1)-INDEX($M$11:$M$12,MATCH(($B$4+G102),$L$11:$L$12,1)))*(($B$4+G102)-INDEX($L$11:$L$12,MATCH(($B$4+G102),$L$11:$L$12,1)))/(INDEX($L$11:$L$12,MATCH(($B$4+G102),$L$11:$L$12,1)+1)-INDEX($L$11:$L$12,MATCH(($B$4+G102),$L$11:$L$12,1)))))),1)</f>
        <v>1</v>
      </c>
    </row>
    <row r="103" customFormat="false" ht="15" hidden="false" customHeight="false" outlineLevel="0" collapsed="false">
      <c r="A103" s="32" t="n">
        <f aca="false">$B$32+0.125+43*0.25</f>
        <v>33.985</v>
      </c>
      <c r="B103" s="27" t="n">
        <f aca="false">IF(A103&lt;$B$31,1,0)</f>
        <v>1</v>
      </c>
      <c r="C103" s="43" t="n">
        <f aca="false">IF($B$7="Oui",1+((IF(($B$4+A103)&lt;=$I$11,$J$11,IF(($B$4+A103)&gt;=$I$33,$J$33,INDEX($J$11:$J$33,MATCH(($B$4+A103),$I$11:$I$33,1))+(INDEX($J$11:$J$33,MATCH(($B$4+A103),$I$11:$I$33,1)+1)-INDEX($J$11:$J$33,MATCH(($B$4+A103),$I$11:$I$33,1)))*(($B$4+A103)-INDEX($I$11:$I$33,MATCH(($B$4+A103),$I$11:$I$33,1)))/(INDEX($I$11:$I$33,MATCH(($B$4+A103),$I$11:$I$33,1)+1)-INDEX($I$11:$I$33,MATCH(($B$4+A103),$I$11:$I$33,1))))))-(IF(($B$4+A103)&lt;=$L$11,$M$11,IF(($B$4+A103)&gt;=$L$12,$M$12,INDEX($M$11:$M$12,MATCH(($B$4+A103),$L$11:$L$12,1))+(INDEX($M$11:$M$12,MATCH(($B$4+A103),$L$11:$L$12,1)+1)-INDEX($M$11:$M$12,MATCH(($B$4+A103),$L$11:$L$12,1)))*(($B$4+A103)-INDEX($L$11:$L$12,MATCH(($B$4+A103),$L$11:$L$12,1)))/(INDEX($L$11:$L$12,MATCH(($B$4+A103),$L$11:$L$12,1)+1)-INDEX($L$11:$L$12,MATCH(($B$4+A103),$L$11:$L$12,1)))))))/(1-(IF(($B$4+A103)&lt;=$I$11,$J$11,IF(($B$4+A103)&gt;=$I$33,$J$33,INDEX($J$11:$J$33,MATCH(($B$4+A103),$I$11:$I$33,1))+(INDEX($J$11:$J$33,MATCH(($B$4+A103),$I$11:$I$33,1)+1)-INDEX($J$11:$J$33,MATCH(($B$4+A103),$I$11:$I$33,1)))*(($B$4+A103)-INDEX($I$11:$I$33,MATCH(($B$4+A103),$I$11:$I$33,1)))/(INDEX($I$11:$I$33,MATCH(($B$4+A103),$I$11:$I$33,1)+1)-INDEX($I$11:$I$33,MATCH(($B$4+A103),$I$11:$I$33,1))))))),1)</f>
        <v>1</v>
      </c>
      <c r="D103" s="43" t="n">
        <f aca="false">B103*(1+$B$30)^(-A103)</f>
        <v>0.664033895181136</v>
      </c>
      <c r="E103" s="43" t="n">
        <f aca="false">B103*C103*(1+$B$5)^(-A103)</f>
        <v>1</v>
      </c>
      <c r="G103" s="32" t="n">
        <f aca="false">$B$31+0.125+43*0.25</f>
        <v>73.315</v>
      </c>
      <c r="H103" s="27" t="n">
        <f aca="false">IF(G103&lt;$B$33,1,0)</f>
        <v>1</v>
      </c>
      <c r="I103" s="43" t="n">
        <f aca="false">H103*(1-$B$6)^(G103-$B$31)*(1+$B$30)^(-G103)</f>
        <v>0.37063647878898</v>
      </c>
      <c r="J103" s="43" t="n">
        <f aca="false">H103*(1-$B$6)^(G103-$B$31)*L103*(1+$B$5)^(-G103)</f>
        <v>0.896463767366956</v>
      </c>
      <c r="L103" s="43" t="n">
        <f aca="false">IF($B$7="Oui",1-(IF(($B$4+G103)&lt;=$L$11,$M$11,IF(($B$4+G103)&gt;=$L$12,$M$12,INDEX($M$11:$M$12,MATCH(($B$4+G103),$L$11:$L$12,1))+(INDEX($M$11:$M$12,MATCH(($B$4+G103),$L$11:$L$12,1)+1)-INDEX($M$11:$M$12,MATCH(($B$4+G103),$L$11:$L$12,1)))*(($B$4+G103)-INDEX($L$11:$L$12,MATCH(($B$4+G103),$L$11:$L$12,1)))/(INDEX($L$11:$L$12,MATCH(($B$4+G103),$L$11:$L$12,1)+1)-INDEX($L$11:$L$12,MATCH(($B$4+G103),$L$11:$L$12,1)))))),1)</f>
        <v>1</v>
      </c>
    </row>
    <row r="104" customFormat="false" ht="15" hidden="false" customHeight="false" outlineLevel="0" collapsed="false">
      <c r="A104" s="32" t="n">
        <f aca="false">$B$32+0.125+44*0.25</f>
        <v>34.235</v>
      </c>
      <c r="B104" s="27" t="n">
        <f aca="false">IF(A104&lt;$B$31,1,0)</f>
        <v>1</v>
      </c>
      <c r="C104" s="43" t="n">
        <f aca="false">IF($B$7="Oui",1+((IF(($B$4+A104)&lt;=$I$11,$J$11,IF(($B$4+A104)&gt;=$I$33,$J$33,INDEX($J$11:$J$33,MATCH(($B$4+A104),$I$11:$I$33,1))+(INDEX($J$11:$J$33,MATCH(($B$4+A104),$I$11:$I$33,1)+1)-INDEX($J$11:$J$33,MATCH(($B$4+A104),$I$11:$I$33,1)))*(($B$4+A104)-INDEX($I$11:$I$33,MATCH(($B$4+A104),$I$11:$I$33,1)))/(INDEX($I$11:$I$33,MATCH(($B$4+A104),$I$11:$I$33,1)+1)-INDEX($I$11:$I$33,MATCH(($B$4+A104),$I$11:$I$33,1))))))-(IF(($B$4+A104)&lt;=$L$11,$M$11,IF(($B$4+A104)&gt;=$L$12,$M$12,INDEX($M$11:$M$12,MATCH(($B$4+A104),$L$11:$L$12,1))+(INDEX($M$11:$M$12,MATCH(($B$4+A104),$L$11:$L$12,1)+1)-INDEX($M$11:$M$12,MATCH(($B$4+A104),$L$11:$L$12,1)))*(($B$4+A104)-INDEX($L$11:$L$12,MATCH(($B$4+A104),$L$11:$L$12,1)))/(INDEX($L$11:$L$12,MATCH(($B$4+A104),$L$11:$L$12,1)+1)-INDEX($L$11:$L$12,MATCH(($B$4+A104),$L$11:$L$12,1)))))))/(1-(IF(($B$4+A104)&lt;=$I$11,$J$11,IF(($B$4+A104)&gt;=$I$33,$J$33,INDEX($J$11:$J$33,MATCH(($B$4+A104),$I$11:$I$33,1))+(INDEX($J$11:$J$33,MATCH(($B$4+A104),$I$11:$I$33,1)+1)-INDEX($J$11:$J$33,MATCH(($B$4+A104),$I$11:$I$33,1)))*(($B$4+A104)-INDEX($I$11:$I$33,MATCH(($B$4+A104),$I$11:$I$33,1)))/(INDEX($I$11:$I$33,MATCH(($B$4+A104),$I$11:$I$33,1)+1)-INDEX($I$11:$I$33,MATCH(($B$4+A104),$I$11:$I$33,1))))))),1)</f>
        <v>1</v>
      </c>
      <c r="D104" s="43" t="n">
        <f aca="false">B104*(1+$B$30)^(-A104)</f>
        <v>0.662036976359742</v>
      </c>
      <c r="E104" s="43" t="n">
        <f aca="false">B104*C104*(1+$B$5)^(-A104)</f>
        <v>1</v>
      </c>
      <c r="G104" s="32" t="n">
        <f aca="false">$B$31+0.125+44*0.25</f>
        <v>73.565</v>
      </c>
      <c r="H104" s="27" t="n">
        <f aca="false">IF(G104&lt;$B$33,1,0)</f>
        <v>1</v>
      </c>
      <c r="I104" s="43" t="n">
        <f aca="false">H104*(1-$B$6)^(G104-$B$31)*(1+$B$30)^(-G104)</f>
        <v>0.368594591307598</v>
      </c>
      <c r="J104" s="43" t="n">
        <f aca="false">H104*(1-$B$6)^(G104-$B$31)*L104*(1+$B$5)^(-G104)</f>
        <v>0.89421415423576</v>
      </c>
      <c r="L104" s="43" t="n">
        <f aca="false">IF($B$7="Oui",1-(IF(($B$4+G104)&lt;=$L$11,$M$11,IF(($B$4+G104)&gt;=$L$12,$M$12,INDEX($M$11:$M$12,MATCH(($B$4+G104),$L$11:$L$12,1))+(INDEX($M$11:$M$12,MATCH(($B$4+G104),$L$11:$L$12,1)+1)-INDEX($M$11:$M$12,MATCH(($B$4+G104),$L$11:$L$12,1)))*(($B$4+G104)-INDEX($L$11:$L$12,MATCH(($B$4+G104),$L$11:$L$12,1)))/(INDEX($L$11:$L$12,MATCH(($B$4+G104),$L$11:$L$12,1)+1)-INDEX($L$11:$L$12,MATCH(($B$4+G104),$L$11:$L$12,1)))))),1)</f>
        <v>1</v>
      </c>
    </row>
    <row r="105" customFormat="false" ht="15" hidden="false" customHeight="false" outlineLevel="0" collapsed="false">
      <c r="A105" s="32" t="n">
        <f aca="false">$B$32+0.125+45*0.25</f>
        <v>34.485</v>
      </c>
      <c r="B105" s="27" t="n">
        <f aca="false">IF(A105&lt;$B$31,1,0)</f>
        <v>1</v>
      </c>
      <c r="C105" s="43" t="n">
        <f aca="false">IF($B$7="Oui",1+((IF(($B$4+A105)&lt;=$I$11,$J$11,IF(($B$4+A105)&gt;=$I$33,$J$33,INDEX($J$11:$J$33,MATCH(($B$4+A105),$I$11:$I$33,1))+(INDEX($J$11:$J$33,MATCH(($B$4+A105),$I$11:$I$33,1)+1)-INDEX($J$11:$J$33,MATCH(($B$4+A105),$I$11:$I$33,1)))*(($B$4+A105)-INDEX($I$11:$I$33,MATCH(($B$4+A105),$I$11:$I$33,1)))/(INDEX($I$11:$I$33,MATCH(($B$4+A105),$I$11:$I$33,1)+1)-INDEX($I$11:$I$33,MATCH(($B$4+A105),$I$11:$I$33,1))))))-(IF(($B$4+A105)&lt;=$L$11,$M$11,IF(($B$4+A105)&gt;=$L$12,$M$12,INDEX($M$11:$M$12,MATCH(($B$4+A105),$L$11:$L$12,1))+(INDEX($M$11:$M$12,MATCH(($B$4+A105),$L$11:$L$12,1)+1)-INDEX($M$11:$M$12,MATCH(($B$4+A105),$L$11:$L$12,1)))*(($B$4+A105)-INDEX($L$11:$L$12,MATCH(($B$4+A105),$L$11:$L$12,1)))/(INDEX($L$11:$L$12,MATCH(($B$4+A105),$L$11:$L$12,1)+1)-INDEX($L$11:$L$12,MATCH(($B$4+A105),$L$11:$L$12,1)))))))/(1-(IF(($B$4+A105)&lt;=$I$11,$J$11,IF(($B$4+A105)&gt;=$I$33,$J$33,INDEX($J$11:$J$33,MATCH(($B$4+A105),$I$11:$I$33,1))+(INDEX($J$11:$J$33,MATCH(($B$4+A105),$I$11:$I$33,1)+1)-INDEX($J$11:$J$33,MATCH(($B$4+A105),$I$11:$I$33,1)))*(($B$4+A105)-INDEX($I$11:$I$33,MATCH(($B$4+A105),$I$11:$I$33,1)))/(INDEX($I$11:$I$33,MATCH(($B$4+A105),$I$11:$I$33,1)+1)-INDEX($I$11:$I$33,MATCH(($B$4+A105),$I$11:$I$33,1))))))),1)</f>
        <v>1</v>
      </c>
      <c r="D105" s="43" t="n">
        <f aca="false">B105*(1+$B$30)^(-A105)</f>
        <v>0.660046062781165</v>
      </c>
      <c r="E105" s="43" t="n">
        <f aca="false">B105*C105*(1+$B$5)^(-A105)</f>
        <v>1</v>
      </c>
      <c r="G105" s="32" t="n">
        <f aca="false">$B$31+0.125+45*0.25</f>
        <v>73.815</v>
      </c>
      <c r="H105" s="27" t="n">
        <f aca="false">IF(G105&lt;$B$33,1,0)</f>
        <v>1</v>
      </c>
      <c r="I105" s="43" t="n">
        <f aca="false">H105*(1-$B$6)^(G105-$B$31)*(1+$B$30)^(-G105)</f>
        <v>0.366563952865976</v>
      </c>
      <c r="J105" s="43" t="n">
        <f aca="false">H105*(1-$B$6)^(G105-$B$31)*L105*(1+$B$5)^(-G105)</f>
        <v>0.891970186351393</v>
      </c>
      <c r="L105" s="43" t="n">
        <f aca="false">IF($B$7="Oui",1-(IF(($B$4+G105)&lt;=$L$11,$M$11,IF(($B$4+G105)&gt;=$L$12,$M$12,INDEX($M$11:$M$12,MATCH(($B$4+G105),$L$11:$L$12,1))+(INDEX($M$11:$M$12,MATCH(($B$4+G105),$L$11:$L$12,1)+1)-INDEX($M$11:$M$12,MATCH(($B$4+G105),$L$11:$L$12,1)))*(($B$4+G105)-INDEX($L$11:$L$12,MATCH(($B$4+G105),$L$11:$L$12,1)))/(INDEX($L$11:$L$12,MATCH(($B$4+G105),$L$11:$L$12,1)+1)-INDEX($L$11:$L$12,MATCH(($B$4+G105),$L$11:$L$12,1)))))),1)</f>
        <v>1</v>
      </c>
    </row>
    <row r="106" customFormat="false" ht="15" hidden="false" customHeight="false" outlineLevel="0" collapsed="false">
      <c r="A106" s="32" t="n">
        <f aca="false">$B$32+0.125+46*0.25</f>
        <v>34.735</v>
      </c>
      <c r="B106" s="27" t="n">
        <f aca="false">IF(A106&lt;$B$31,1,0)</f>
        <v>1</v>
      </c>
      <c r="C106" s="43" t="n">
        <f aca="false">IF($B$7="Oui",1+((IF(($B$4+A106)&lt;=$I$11,$J$11,IF(($B$4+A106)&gt;=$I$33,$J$33,INDEX($J$11:$J$33,MATCH(($B$4+A106),$I$11:$I$33,1))+(INDEX($J$11:$J$33,MATCH(($B$4+A106),$I$11:$I$33,1)+1)-INDEX($J$11:$J$33,MATCH(($B$4+A106),$I$11:$I$33,1)))*(($B$4+A106)-INDEX($I$11:$I$33,MATCH(($B$4+A106),$I$11:$I$33,1)))/(INDEX($I$11:$I$33,MATCH(($B$4+A106),$I$11:$I$33,1)+1)-INDEX($I$11:$I$33,MATCH(($B$4+A106),$I$11:$I$33,1))))))-(IF(($B$4+A106)&lt;=$L$11,$M$11,IF(($B$4+A106)&gt;=$L$12,$M$12,INDEX($M$11:$M$12,MATCH(($B$4+A106),$L$11:$L$12,1))+(INDEX($M$11:$M$12,MATCH(($B$4+A106),$L$11:$L$12,1)+1)-INDEX($M$11:$M$12,MATCH(($B$4+A106),$L$11:$L$12,1)))*(($B$4+A106)-INDEX($L$11:$L$12,MATCH(($B$4+A106),$L$11:$L$12,1)))/(INDEX($L$11:$L$12,MATCH(($B$4+A106),$L$11:$L$12,1)+1)-INDEX($L$11:$L$12,MATCH(($B$4+A106),$L$11:$L$12,1)))))))/(1-(IF(($B$4+A106)&lt;=$I$11,$J$11,IF(($B$4+A106)&gt;=$I$33,$J$33,INDEX($J$11:$J$33,MATCH(($B$4+A106),$I$11:$I$33,1))+(INDEX($J$11:$J$33,MATCH(($B$4+A106),$I$11:$I$33,1)+1)-INDEX($J$11:$J$33,MATCH(($B$4+A106),$I$11:$I$33,1)))*(($B$4+A106)-INDEX($I$11:$I$33,MATCH(($B$4+A106),$I$11:$I$33,1)))/(INDEX($I$11:$I$33,MATCH(($B$4+A106),$I$11:$I$33,1)+1)-INDEX($I$11:$I$33,MATCH(($B$4+A106),$I$11:$I$33,1))))))),1)</f>
        <v>1</v>
      </c>
      <c r="D106" s="43" t="n">
        <f aca="false">B106*(1+$B$30)^(-A106)</f>
        <v>0.658061136386112</v>
      </c>
      <c r="E106" s="43" t="n">
        <f aca="false">B106*C106*(1+$B$5)^(-A106)</f>
        <v>1</v>
      </c>
      <c r="G106" s="32" t="n">
        <f aca="false">$B$31+0.125+46*0.25</f>
        <v>74.065</v>
      </c>
      <c r="H106" s="27" t="n">
        <f aca="false">IF(G106&lt;$B$33,1,0)</f>
        <v>1</v>
      </c>
      <c r="I106" s="43" t="n">
        <f aca="false">H106*(1-$B$6)^(G106-$B$31)*(1+$B$30)^(-G106)</f>
        <v>0.364544501491603</v>
      </c>
      <c r="J106" s="43" t="n">
        <f aca="false">H106*(1-$B$6)^(G106-$B$31)*L106*(1+$B$5)^(-G106)</f>
        <v>0.889731849547503</v>
      </c>
      <c r="L106" s="43" t="n">
        <f aca="false">IF($B$7="Oui",1-(IF(($B$4+G106)&lt;=$L$11,$M$11,IF(($B$4+G106)&gt;=$L$12,$M$12,INDEX($M$11:$M$12,MATCH(($B$4+G106),$L$11:$L$12,1))+(INDEX($M$11:$M$12,MATCH(($B$4+G106),$L$11:$L$12,1)+1)-INDEX($M$11:$M$12,MATCH(($B$4+G106),$L$11:$L$12,1)))*(($B$4+G106)-INDEX($L$11:$L$12,MATCH(($B$4+G106),$L$11:$L$12,1)))/(INDEX($L$11:$L$12,MATCH(($B$4+G106),$L$11:$L$12,1)+1)-INDEX($L$11:$L$12,MATCH(($B$4+G106),$L$11:$L$12,1)))))),1)</f>
        <v>1</v>
      </c>
    </row>
    <row r="107" customFormat="false" ht="15" hidden="false" customHeight="false" outlineLevel="0" collapsed="false">
      <c r="A107" s="32" t="n">
        <f aca="false">$B$32+0.125+47*0.25</f>
        <v>34.985</v>
      </c>
      <c r="B107" s="27" t="n">
        <f aca="false">IF(A107&lt;$B$31,1,0)</f>
        <v>1</v>
      </c>
      <c r="C107" s="43" t="n">
        <f aca="false">IF($B$7="Oui",1+((IF(($B$4+A107)&lt;=$I$11,$J$11,IF(($B$4+A107)&gt;=$I$33,$J$33,INDEX($J$11:$J$33,MATCH(($B$4+A107),$I$11:$I$33,1))+(INDEX($J$11:$J$33,MATCH(($B$4+A107),$I$11:$I$33,1)+1)-INDEX($J$11:$J$33,MATCH(($B$4+A107),$I$11:$I$33,1)))*(($B$4+A107)-INDEX($I$11:$I$33,MATCH(($B$4+A107),$I$11:$I$33,1)))/(INDEX($I$11:$I$33,MATCH(($B$4+A107),$I$11:$I$33,1)+1)-INDEX($I$11:$I$33,MATCH(($B$4+A107),$I$11:$I$33,1))))))-(IF(($B$4+A107)&lt;=$L$11,$M$11,IF(($B$4+A107)&gt;=$L$12,$M$12,INDEX($M$11:$M$12,MATCH(($B$4+A107),$L$11:$L$12,1))+(INDEX($M$11:$M$12,MATCH(($B$4+A107),$L$11:$L$12,1)+1)-INDEX($M$11:$M$12,MATCH(($B$4+A107),$L$11:$L$12,1)))*(($B$4+A107)-INDEX($L$11:$L$12,MATCH(($B$4+A107),$L$11:$L$12,1)))/(INDEX($L$11:$L$12,MATCH(($B$4+A107),$L$11:$L$12,1)+1)-INDEX($L$11:$L$12,MATCH(($B$4+A107),$L$11:$L$12,1)))))))/(1-(IF(($B$4+A107)&lt;=$I$11,$J$11,IF(($B$4+A107)&gt;=$I$33,$J$33,INDEX($J$11:$J$33,MATCH(($B$4+A107),$I$11:$I$33,1))+(INDEX($J$11:$J$33,MATCH(($B$4+A107),$I$11:$I$33,1)+1)-INDEX($J$11:$J$33,MATCH(($B$4+A107),$I$11:$I$33,1)))*(($B$4+A107)-INDEX($I$11:$I$33,MATCH(($B$4+A107),$I$11:$I$33,1)))/(INDEX($I$11:$I$33,MATCH(($B$4+A107),$I$11:$I$33,1)+1)-INDEX($I$11:$I$33,MATCH(($B$4+A107),$I$11:$I$33,1))))))),1)</f>
        <v>1</v>
      </c>
      <c r="D107" s="43" t="n">
        <f aca="false">B107*(1+$B$30)^(-A107)</f>
        <v>0.6560821791696</v>
      </c>
      <c r="E107" s="43" t="n">
        <f aca="false">B107*C107*(1+$B$5)^(-A107)</f>
        <v>1</v>
      </c>
      <c r="G107" s="32" t="n">
        <f aca="false">$B$31+0.125+47*0.25</f>
        <v>74.315</v>
      </c>
      <c r="H107" s="27" t="n">
        <f aca="false">IF(G107&lt;$B$33,1,0)</f>
        <v>1</v>
      </c>
      <c r="I107" s="43" t="n">
        <f aca="false">H107*(1-$B$6)^(G107-$B$31)*(1+$B$30)^(-G107)</f>
        <v>0.362536175553383</v>
      </c>
      <c r="J107" s="43" t="n">
        <f aca="false">H107*(1-$B$6)^(G107-$B$31)*L107*(1+$B$5)^(-G107)</f>
        <v>0.887499129693287</v>
      </c>
      <c r="L107" s="43" t="n">
        <f aca="false">IF($B$7="Oui",1-(IF(($B$4+G107)&lt;=$L$11,$M$11,IF(($B$4+G107)&gt;=$L$12,$M$12,INDEX($M$11:$M$12,MATCH(($B$4+G107),$L$11:$L$12,1))+(INDEX($M$11:$M$12,MATCH(($B$4+G107),$L$11:$L$12,1)+1)-INDEX($M$11:$M$12,MATCH(($B$4+G107),$L$11:$L$12,1)))*(($B$4+G107)-INDEX($L$11:$L$12,MATCH(($B$4+G107),$L$11:$L$12,1)))/(INDEX($L$11:$L$12,MATCH(($B$4+G107),$L$11:$L$12,1)+1)-INDEX($L$11:$L$12,MATCH(($B$4+G107),$L$11:$L$12,1)))))),1)</f>
        <v>1</v>
      </c>
    </row>
    <row r="108" customFormat="false" ht="15" hidden="false" customHeight="false" outlineLevel="0" collapsed="false">
      <c r="A108" s="32" t="n">
        <f aca="false">$B$32+0.125+48*0.25</f>
        <v>35.235</v>
      </c>
      <c r="B108" s="27" t="n">
        <f aca="false">IF(A108&lt;$B$31,1,0)</f>
        <v>1</v>
      </c>
      <c r="C108" s="43" t="n">
        <f aca="false">IF($B$7="Oui",1+((IF(($B$4+A108)&lt;=$I$11,$J$11,IF(($B$4+A108)&gt;=$I$33,$J$33,INDEX($J$11:$J$33,MATCH(($B$4+A108),$I$11:$I$33,1))+(INDEX($J$11:$J$33,MATCH(($B$4+A108),$I$11:$I$33,1)+1)-INDEX($J$11:$J$33,MATCH(($B$4+A108),$I$11:$I$33,1)))*(($B$4+A108)-INDEX($I$11:$I$33,MATCH(($B$4+A108),$I$11:$I$33,1)))/(INDEX($I$11:$I$33,MATCH(($B$4+A108),$I$11:$I$33,1)+1)-INDEX($I$11:$I$33,MATCH(($B$4+A108),$I$11:$I$33,1))))))-(IF(($B$4+A108)&lt;=$L$11,$M$11,IF(($B$4+A108)&gt;=$L$12,$M$12,INDEX($M$11:$M$12,MATCH(($B$4+A108),$L$11:$L$12,1))+(INDEX($M$11:$M$12,MATCH(($B$4+A108),$L$11:$L$12,1)+1)-INDEX($M$11:$M$12,MATCH(($B$4+A108),$L$11:$L$12,1)))*(($B$4+A108)-INDEX($L$11:$L$12,MATCH(($B$4+A108),$L$11:$L$12,1)))/(INDEX($L$11:$L$12,MATCH(($B$4+A108),$L$11:$L$12,1)+1)-INDEX($L$11:$L$12,MATCH(($B$4+A108),$L$11:$L$12,1)))))))/(1-(IF(($B$4+A108)&lt;=$I$11,$J$11,IF(($B$4+A108)&gt;=$I$33,$J$33,INDEX($J$11:$J$33,MATCH(($B$4+A108),$I$11:$I$33,1))+(INDEX($J$11:$J$33,MATCH(($B$4+A108),$I$11:$I$33,1)+1)-INDEX($J$11:$J$33,MATCH(($B$4+A108),$I$11:$I$33,1)))*(($B$4+A108)-INDEX($I$11:$I$33,MATCH(($B$4+A108),$I$11:$I$33,1)))/(INDEX($I$11:$I$33,MATCH(($B$4+A108),$I$11:$I$33,1)+1)-INDEX($I$11:$I$33,MATCH(($B$4+A108),$I$11:$I$33,1))))))),1)</f>
        <v>1</v>
      </c>
      <c r="D108" s="43" t="n">
        <f aca="false">B108*(1+$B$30)^(-A108)</f>
        <v>0.654109173180791</v>
      </c>
      <c r="E108" s="43" t="n">
        <f aca="false">B108*C108*(1+$B$5)^(-A108)</f>
        <v>1</v>
      </c>
      <c r="G108" s="32" t="n">
        <f aca="false">$B$31+0.125+48*0.25</f>
        <v>74.565</v>
      </c>
      <c r="H108" s="27" t="n">
        <f aca="false">IF(G108&lt;$B$33,1,0)</f>
        <v>1</v>
      </c>
      <c r="I108" s="43" t="n">
        <f aca="false">H108*(1-$B$6)^(G108-$B$31)*(1+$B$30)^(-G108)</f>
        <v>0.360538913759754</v>
      </c>
      <c r="J108" s="43" t="n">
        <f aca="false">H108*(1-$B$6)^(G108-$B$31)*L108*(1+$B$5)^(-G108)</f>
        <v>0.885272012693402</v>
      </c>
      <c r="L108" s="43" t="n">
        <f aca="false">IF($B$7="Oui",1-(IF(($B$4+G108)&lt;=$L$11,$M$11,IF(($B$4+G108)&gt;=$L$12,$M$12,INDEX($M$11:$M$12,MATCH(($B$4+G108),$L$11:$L$12,1))+(INDEX($M$11:$M$12,MATCH(($B$4+G108),$L$11:$L$12,1)+1)-INDEX($M$11:$M$12,MATCH(($B$4+G108),$L$11:$L$12,1)))*(($B$4+G108)-INDEX($L$11:$L$12,MATCH(($B$4+G108),$L$11:$L$12,1)))/(INDEX($L$11:$L$12,MATCH(($B$4+G108),$L$11:$L$12,1)+1)-INDEX($L$11:$L$12,MATCH(($B$4+G108),$L$11:$L$12,1)))))),1)</f>
        <v>1</v>
      </c>
    </row>
    <row r="109" customFormat="false" ht="15" hidden="false" customHeight="false" outlineLevel="0" collapsed="false">
      <c r="A109" s="32" t="n">
        <f aca="false">$B$32+0.125+49*0.25</f>
        <v>35.485</v>
      </c>
      <c r="B109" s="27" t="n">
        <f aca="false">IF(A109&lt;$B$31,1,0)</f>
        <v>1</v>
      </c>
      <c r="C109" s="43" t="n">
        <f aca="false">IF($B$7="Oui",1+((IF(($B$4+A109)&lt;=$I$11,$J$11,IF(($B$4+A109)&gt;=$I$33,$J$33,INDEX($J$11:$J$33,MATCH(($B$4+A109),$I$11:$I$33,1))+(INDEX($J$11:$J$33,MATCH(($B$4+A109),$I$11:$I$33,1)+1)-INDEX($J$11:$J$33,MATCH(($B$4+A109),$I$11:$I$33,1)))*(($B$4+A109)-INDEX($I$11:$I$33,MATCH(($B$4+A109),$I$11:$I$33,1)))/(INDEX($I$11:$I$33,MATCH(($B$4+A109),$I$11:$I$33,1)+1)-INDEX($I$11:$I$33,MATCH(($B$4+A109),$I$11:$I$33,1))))))-(IF(($B$4+A109)&lt;=$L$11,$M$11,IF(($B$4+A109)&gt;=$L$12,$M$12,INDEX($M$11:$M$12,MATCH(($B$4+A109),$L$11:$L$12,1))+(INDEX($M$11:$M$12,MATCH(($B$4+A109),$L$11:$L$12,1)+1)-INDEX($M$11:$M$12,MATCH(($B$4+A109),$L$11:$L$12,1)))*(($B$4+A109)-INDEX($L$11:$L$12,MATCH(($B$4+A109),$L$11:$L$12,1)))/(INDEX($L$11:$L$12,MATCH(($B$4+A109),$L$11:$L$12,1)+1)-INDEX($L$11:$L$12,MATCH(($B$4+A109),$L$11:$L$12,1)))))))/(1-(IF(($B$4+A109)&lt;=$I$11,$J$11,IF(($B$4+A109)&gt;=$I$33,$J$33,INDEX($J$11:$J$33,MATCH(($B$4+A109),$I$11:$I$33,1))+(INDEX($J$11:$J$33,MATCH(($B$4+A109),$I$11:$I$33,1)+1)-INDEX($J$11:$J$33,MATCH(($B$4+A109),$I$11:$I$33,1)))*(($B$4+A109)-INDEX($I$11:$I$33,MATCH(($B$4+A109),$I$11:$I$33,1)))/(INDEX($I$11:$I$33,MATCH(($B$4+A109),$I$11:$I$33,1)+1)-INDEX($I$11:$I$33,MATCH(($B$4+A109),$I$11:$I$33,1))))))),1)</f>
        <v>1</v>
      </c>
      <c r="D109" s="43" t="n">
        <f aca="false">B109*(1+$B$30)^(-A109)</f>
        <v>0.652142100522828</v>
      </c>
      <c r="E109" s="43" t="n">
        <f aca="false">B109*C109*(1+$B$5)^(-A109)</f>
        <v>1</v>
      </c>
      <c r="G109" s="32" t="n">
        <f aca="false">$B$31+0.125+49*0.25</f>
        <v>74.815</v>
      </c>
      <c r="H109" s="27" t="n">
        <f aca="false">IF(G109&lt;$B$33,1,0)</f>
        <v>1</v>
      </c>
      <c r="I109" s="43" t="n">
        <f aca="false">H109*(1-$B$6)^(G109-$B$31)*(1+$B$30)^(-G109)</f>
        <v>0.358552655156816</v>
      </c>
      <c r="J109" s="43" t="n">
        <f aca="false">H109*(1-$B$6)^(G109-$B$31)*L109*(1+$B$5)^(-G109)</f>
        <v>0.883050484487879</v>
      </c>
      <c r="L109" s="43" t="n">
        <f aca="false">IF($B$7="Oui",1-(IF(($B$4+G109)&lt;=$L$11,$M$11,IF(($B$4+G109)&gt;=$L$12,$M$12,INDEX($M$11:$M$12,MATCH(($B$4+G109),$L$11:$L$12,1))+(INDEX($M$11:$M$12,MATCH(($B$4+G109),$L$11:$L$12,1)+1)-INDEX($M$11:$M$12,MATCH(($B$4+G109),$L$11:$L$12,1)))*(($B$4+G109)-INDEX($L$11:$L$12,MATCH(($B$4+G109),$L$11:$L$12,1)))/(INDEX($L$11:$L$12,MATCH(($B$4+G109),$L$11:$L$12,1)+1)-INDEX($L$11:$L$12,MATCH(($B$4+G109),$L$11:$L$12,1)))))),1)</f>
        <v>1</v>
      </c>
    </row>
    <row r="110" customFormat="false" ht="15" hidden="false" customHeight="false" outlineLevel="0" collapsed="false">
      <c r="A110" s="32" t="n">
        <f aca="false">$B$32+0.125+50*0.25</f>
        <v>35.735</v>
      </c>
      <c r="B110" s="27" t="n">
        <f aca="false">IF(A110&lt;$B$31,1,0)</f>
        <v>1</v>
      </c>
      <c r="C110" s="43" t="n">
        <f aca="false">IF($B$7="Oui",1+((IF(($B$4+A110)&lt;=$I$11,$J$11,IF(($B$4+A110)&gt;=$I$33,$J$33,INDEX($J$11:$J$33,MATCH(($B$4+A110),$I$11:$I$33,1))+(INDEX($J$11:$J$33,MATCH(($B$4+A110),$I$11:$I$33,1)+1)-INDEX($J$11:$J$33,MATCH(($B$4+A110),$I$11:$I$33,1)))*(($B$4+A110)-INDEX($I$11:$I$33,MATCH(($B$4+A110),$I$11:$I$33,1)))/(INDEX($I$11:$I$33,MATCH(($B$4+A110),$I$11:$I$33,1)+1)-INDEX($I$11:$I$33,MATCH(($B$4+A110),$I$11:$I$33,1))))))-(IF(($B$4+A110)&lt;=$L$11,$M$11,IF(($B$4+A110)&gt;=$L$12,$M$12,INDEX($M$11:$M$12,MATCH(($B$4+A110),$L$11:$L$12,1))+(INDEX($M$11:$M$12,MATCH(($B$4+A110),$L$11:$L$12,1)+1)-INDEX($M$11:$M$12,MATCH(($B$4+A110),$L$11:$L$12,1)))*(($B$4+A110)-INDEX($L$11:$L$12,MATCH(($B$4+A110),$L$11:$L$12,1)))/(INDEX($L$11:$L$12,MATCH(($B$4+A110),$L$11:$L$12,1)+1)-INDEX($L$11:$L$12,MATCH(($B$4+A110),$L$11:$L$12,1)))))))/(1-(IF(($B$4+A110)&lt;=$I$11,$J$11,IF(($B$4+A110)&gt;=$I$33,$J$33,INDEX($J$11:$J$33,MATCH(($B$4+A110),$I$11:$I$33,1))+(INDEX($J$11:$J$33,MATCH(($B$4+A110),$I$11:$I$33,1)+1)-INDEX($J$11:$J$33,MATCH(($B$4+A110),$I$11:$I$33,1)))*(($B$4+A110)-INDEX($I$11:$I$33,MATCH(($B$4+A110),$I$11:$I$33,1)))/(INDEX($I$11:$I$33,MATCH(($B$4+A110),$I$11:$I$33,1)+1)-INDEX($I$11:$I$33,MATCH(($B$4+A110),$I$11:$I$33,1))))))),1)</f>
        <v>1</v>
      </c>
      <c r="D110" s="43" t="n">
        <f aca="false">B110*(1+$B$30)^(-A110)</f>
        <v>0.650180943352678</v>
      </c>
      <c r="E110" s="43" t="n">
        <f aca="false">B110*C110*(1+$B$5)^(-A110)</f>
        <v>1</v>
      </c>
      <c r="G110" s="32" t="n">
        <f aca="false">$B$31+0.125+50*0.25</f>
        <v>75.065</v>
      </c>
      <c r="H110" s="27" t="n">
        <f aca="false">IF(G110&lt;$B$33,1,0)</f>
        <v>1</v>
      </c>
      <c r="I110" s="43" t="n">
        <f aca="false">H110*(1-$B$6)^(G110-$B$31)*(1+$B$30)^(-G110)</f>
        <v>0.356577339126475</v>
      </c>
      <c r="J110" s="43" t="n">
        <f aca="false">H110*(1-$B$6)^(G110-$B$31)*L110*(1+$B$5)^(-G110)</f>
        <v>0.880834531052028</v>
      </c>
      <c r="L110" s="43" t="n">
        <f aca="false">IF($B$7="Oui",1-(IF(($B$4+G110)&lt;=$L$11,$M$11,IF(($B$4+G110)&gt;=$L$12,$M$12,INDEX($M$11:$M$12,MATCH(($B$4+G110),$L$11:$L$12,1))+(INDEX($M$11:$M$12,MATCH(($B$4+G110),$L$11:$L$12,1)+1)-INDEX($M$11:$M$12,MATCH(($B$4+G110),$L$11:$L$12,1)))*(($B$4+G110)-INDEX($L$11:$L$12,MATCH(($B$4+G110),$L$11:$L$12,1)))/(INDEX($L$11:$L$12,MATCH(($B$4+G110),$L$11:$L$12,1)+1)-INDEX($L$11:$L$12,MATCH(($B$4+G110),$L$11:$L$12,1)))))),1)</f>
        <v>1</v>
      </c>
    </row>
    <row r="111" customFormat="false" ht="15" hidden="false" customHeight="false" outlineLevel="0" collapsed="false">
      <c r="A111" s="32" t="n">
        <f aca="false">$B$32+0.125+51*0.25</f>
        <v>35.985</v>
      </c>
      <c r="B111" s="27" t="n">
        <f aca="false">IF(A111&lt;$B$31,1,0)</f>
        <v>1</v>
      </c>
      <c r="C111" s="43" t="n">
        <f aca="false">IF($B$7="Oui",1+((IF(($B$4+A111)&lt;=$I$11,$J$11,IF(($B$4+A111)&gt;=$I$33,$J$33,INDEX($J$11:$J$33,MATCH(($B$4+A111),$I$11:$I$33,1))+(INDEX($J$11:$J$33,MATCH(($B$4+A111),$I$11:$I$33,1)+1)-INDEX($J$11:$J$33,MATCH(($B$4+A111),$I$11:$I$33,1)))*(($B$4+A111)-INDEX($I$11:$I$33,MATCH(($B$4+A111),$I$11:$I$33,1)))/(INDEX($I$11:$I$33,MATCH(($B$4+A111),$I$11:$I$33,1)+1)-INDEX($I$11:$I$33,MATCH(($B$4+A111),$I$11:$I$33,1))))))-(IF(($B$4+A111)&lt;=$L$11,$M$11,IF(($B$4+A111)&gt;=$L$12,$M$12,INDEX($M$11:$M$12,MATCH(($B$4+A111),$L$11:$L$12,1))+(INDEX($M$11:$M$12,MATCH(($B$4+A111),$L$11:$L$12,1)+1)-INDEX($M$11:$M$12,MATCH(($B$4+A111),$L$11:$L$12,1)))*(($B$4+A111)-INDEX($L$11:$L$12,MATCH(($B$4+A111),$L$11:$L$12,1)))/(INDEX($L$11:$L$12,MATCH(($B$4+A111),$L$11:$L$12,1)+1)-INDEX($L$11:$L$12,MATCH(($B$4+A111),$L$11:$L$12,1)))))))/(1-(IF(($B$4+A111)&lt;=$I$11,$J$11,IF(($B$4+A111)&gt;=$I$33,$J$33,INDEX($J$11:$J$33,MATCH(($B$4+A111),$I$11:$I$33,1))+(INDEX($J$11:$J$33,MATCH(($B$4+A111),$I$11:$I$33,1)+1)-INDEX($J$11:$J$33,MATCH(($B$4+A111),$I$11:$I$33,1)))*(($B$4+A111)-INDEX($I$11:$I$33,MATCH(($B$4+A111),$I$11:$I$33,1)))/(INDEX($I$11:$I$33,MATCH(($B$4+A111),$I$11:$I$33,1)+1)-INDEX($I$11:$I$33,MATCH(($B$4+A111),$I$11:$I$33,1))))))),1)</f>
        <v>1</v>
      </c>
      <c r="D111" s="43" t="n">
        <f aca="false">B111*(1+$B$30)^(-A111)</f>
        <v>0.648225683880963</v>
      </c>
      <c r="E111" s="43" t="n">
        <f aca="false">B111*C111*(1+$B$5)^(-A111)</f>
        <v>1</v>
      </c>
      <c r="G111" s="32" t="n">
        <f aca="false">$B$31+0.125+51*0.25</f>
        <v>75.315</v>
      </c>
      <c r="H111" s="27" t="n">
        <f aca="false">IF(G111&lt;$B$33,1,0)</f>
        <v>1</v>
      </c>
      <c r="I111" s="43" t="n">
        <f aca="false">H111*(1-$B$6)^(G111-$B$31)*(1+$B$30)^(-G111)</f>
        <v>0.354612905384588</v>
      </c>
      <c r="J111" s="43" t="n">
        <f aca="false">H111*(1-$B$6)^(G111-$B$31)*L111*(1+$B$5)^(-G111)</f>
        <v>0.878624138396354</v>
      </c>
      <c r="L111" s="43" t="n">
        <f aca="false">IF($B$7="Oui",1-(IF(($B$4+G111)&lt;=$L$11,$M$11,IF(($B$4+G111)&gt;=$L$12,$M$12,INDEX($M$11:$M$12,MATCH(($B$4+G111),$L$11:$L$12,1))+(INDEX($M$11:$M$12,MATCH(($B$4+G111),$L$11:$L$12,1)+1)-INDEX($M$11:$M$12,MATCH(($B$4+G111),$L$11:$L$12,1)))*(($B$4+G111)-INDEX($L$11:$L$12,MATCH(($B$4+G111),$L$11:$L$12,1)))/(INDEX($L$11:$L$12,MATCH(($B$4+G111),$L$11:$L$12,1)+1)-INDEX($L$11:$L$12,MATCH(($B$4+G111),$L$11:$L$12,1)))))),1)</f>
        <v>1</v>
      </c>
    </row>
    <row r="112" customFormat="false" ht="15" hidden="false" customHeight="false" outlineLevel="0" collapsed="false">
      <c r="A112" s="32" t="n">
        <f aca="false">$B$32+0.125+52*0.25</f>
        <v>36.235</v>
      </c>
      <c r="B112" s="27" t="n">
        <f aca="false">IF(A112&lt;$B$31,1,0)</f>
        <v>1</v>
      </c>
      <c r="C112" s="43" t="n">
        <f aca="false">IF($B$7="Oui",1+((IF(($B$4+A112)&lt;=$I$11,$J$11,IF(($B$4+A112)&gt;=$I$33,$J$33,INDEX($J$11:$J$33,MATCH(($B$4+A112),$I$11:$I$33,1))+(INDEX($J$11:$J$33,MATCH(($B$4+A112),$I$11:$I$33,1)+1)-INDEX($J$11:$J$33,MATCH(($B$4+A112),$I$11:$I$33,1)))*(($B$4+A112)-INDEX($I$11:$I$33,MATCH(($B$4+A112),$I$11:$I$33,1)))/(INDEX($I$11:$I$33,MATCH(($B$4+A112),$I$11:$I$33,1)+1)-INDEX($I$11:$I$33,MATCH(($B$4+A112),$I$11:$I$33,1))))))-(IF(($B$4+A112)&lt;=$L$11,$M$11,IF(($B$4+A112)&gt;=$L$12,$M$12,INDEX($M$11:$M$12,MATCH(($B$4+A112),$L$11:$L$12,1))+(INDEX($M$11:$M$12,MATCH(($B$4+A112),$L$11:$L$12,1)+1)-INDEX($M$11:$M$12,MATCH(($B$4+A112),$L$11:$L$12,1)))*(($B$4+A112)-INDEX($L$11:$L$12,MATCH(($B$4+A112),$L$11:$L$12,1)))/(INDEX($L$11:$L$12,MATCH(($B$4+A112),$L$11:$L$12,1)+1)-INDEX($L$11:$L$12,MATCH(($B$4+A112),$L$11:$L$12,1)))))))/(1-(IF(($B$4+A112)&lt;=$I$11,$J$11,IF(($B$4+A112)&gt;=$I$33,$J$33,INDEX($J$11:$J$33,MATCH(($B$4+A112),$I$11:$I$33,1))+(INDEX($J$11:$J$33,MATCH(($B$4+A112),$I$11:$I$33,1)+1)-INDEX($J$11:$J$33,MATCH(($B$4+A112),$I$11:$I$33,1)))*(($B$4+A112)-INDEX($I$11:$I$33,MATCH(($B$4+A112),$I$11:$I$33,1)))/(INDEX($I$11:$I$33,MATCH(($B$4+A112),$I$11:$I$33,1)+1)-INDEX($I$11:$I$33,MATCH(($B$4+A112),$I$11:$I$33,1))))))),1)</f>
        <v>1</v>
      </c>
      <c r="D112" s="43" t="n">
        <f aca="false">B112*(1+$B$30)^(-A112)</f>
        <v>0.646276304371805</v>
      </c>
      <c r="E112" s="43" t="n">
        <f aca="false">B112*C112*(1+$B$5)^(-A112)</f>
        <v>1</v>
      </c>
      <c r="G112" s="32" t="n">
        <f aca="false">$B$31+0.125+52*0.25</f>
        <v>75.565</v>
      </c>
      <c r="H112" s="27" t="n">
        <f aca="false">IF(G112&lt;$B$33,1,0)</f>
        <v>1</v>
      </c>
      <c r="I112" s="43" t="n">
        <f aca="false">H112*(1-$B$6)^(G112-$B$31)*(1+$B$30)^(-G112)</f>
        <v>0.352659293979129</v>
      </c>
      <c r="J112" s="43" t="n">
        <f aca="false">H112*(1-$B$6)^(G112-$B$31)*L112*(1+$B$5)^(-G112)</f>
        <v>0.876419292566468</v>
      </c>
      <c r="L112" s="43" t="n">
        <f aca="false">IF($B$7="Oui",1-(IF(($B$4+G112)&lt;=$L$11,$M$11,IF(($B$4+G112)&gt;=$L$12,$M$12,INDEX($M$11:$M$12,MATCH(($B$4+G112),$L$11:$L$12,1))+(INDEX($M$11:$M$12,MATCH(($B$4+G112),$L$11:$L$12,1)+1)-INDEX($M$11:$M$12,MATCH(($B$4+G112),$L$11:$L$12,1)))*(($B$4+G112)-INDEX($L$11:$L$12,MATCH(($B$4+G112),$L$11:$L$12,1)))/(INDEX($L$11:$L$12,MATCH(($B$4+G112),$L$11:$L$12,1)+1)-INDEX($L$11:$L$12,MATCH(($B$4+G112),$L$11:$L$12,1)))))),1)</f>
        <v>1</v>
      </c>
    </row>
    <row r="113" customFormat="false" ht="15" hidden="false" customHeight="false" outlineLevel="0" collapsed="false">
      <c r="A113" s="32" t="n">
        <f aca="false">$B$32+0.125+53*0.25</f>
        <v>36.485</v>
      </c>
      <c r="B113" s="27" t="n">
        <f aca="false">IF(A113&lt;$B$31,1,0)</f>
        <v>1</v>
      </c>
      <c r="C113" s="43" t="n">
        <f aca="false">IF($B$7="Oui",1+((IF(($B$4+A113)&lt;=$I$11,$J$11,IF(($B$4+A113)&gt;=$I$33,$J$33,INDEX($J$11:$J$33,MATCH(($B$4+A113),$I$11:$I$33,1))+(INDEX($J$11:$J$33,MATCH(($B$4+A113),$I$11:$I$33,1)+1)-INDEX($J$11:$J$33,MATCH(($B$4+A113),$I$11:$I$33,1)))*(($B$4+A113)-INDEX($I$11:$I$33,MATCH(($B$4+A113),$I$11:$I$33,1)))/(INDEX($I$11:$I$33,MATCH(($B$4+A113),$I$11:$I$33,1)+1)-INDEX($I$11:$I$33,MATCH(($B$4+A113),$I$11:$I$33,1))))))-(IF(($B$4+A113)&lt;=$L$11,$M$11,IF(($B$4+A113)&gt;=$L$12,$M$12,INDEX($M$11:$M$12,MATCH(($B$4+A113),$L$11:$L$12,1))+(INDEX($M$11:$M$12,MATCH(($B$4+A113),$L$11:$L$12,1)+1)-INDEX($M$11:$M$12,MATCH(($B$4+A113),$L$11:$L$12,1)))*(($B$4+A113)-INDEX($L$11:$L$12,MATCH(($B$4+A113),$L$11:$L$12,1)))/(INDEX($L$11:$L$12,MATCH(($B$4+A113),$L$11:$L$12,1)+1)-INDEX($L$11:$L$12,MATCH(($B$4+A113),$L$11:$L$12,1)))))))/(1-(IF(($B$4+A113)&lt;=$I$11,$J$11,IF(($B$4+A113)&gt;=$I$33,$J$33,INDEX($J$11:$J$33,MATCH(($B$4+A113),$I$11:$I$33,1))+(INDEX($J$11:$J$33,MATCH(($B$4+A113),$I$11:$I$33,1)+1)-INDEX($J$11:$J$33,MATCH(($B$4+A113),$I$11:$I$33,1)))*(($B$4+A113)-INDEX($I$11:$I$33,MATCH(($B$4+A113),$I$11:$I$33,1)))/(INDEX($I$11:$I$33,MATCH(($B$4+A113),$I$11:$I$33,1)+1)-INDEX($I$11:$I$33,MATCH(($B$4+A113),$I$11:$I$33,1))))))),1)</f>
        <v>1</v>
      </c>
      <c r="D113" s="43" t="n">
        <f aca="false">B113*(1+$B$30)^(-A113)</f>
        <v>0.644332787142659</v>
      </c>
      <c r="E113" s="43" t="n">
        <f aca="false">B113*C113*(1+$B$5)^(-A113)</f>
        <v>1</v>
      </c>
      <c r="G113" s="32" t="n">
        <f aca="false">$B$31+0.125+53*0.25</f>
        <v>75.815</v>
      </c>
      <c r="H113" s="27" t="n">
        <f aca="false">IF(G113&lt;$B$33,1,0)</f>
        <v>1</v>
      </c>
      <c r="I113" s="43" t="n">
        <f aca="false">H113*(1-$B$6)^(G113-$B$31)*(1+$B$30)^(-G113)</f>
        <v>0.350716445288353</v>
      </c>
      <c r="J113" s="43" t="n">
        <f aca="false">H113*(1-$B$6)^(G113-$B$31)*L113*(1+$B$5)^(-G113)</f>
        <v>0.874219979643</v>
      </c>
      <c r="L113" s="43" t="n">
        <f aca="false">IF($B$7="Oui",1-(IF(($B$4+G113)&lt;=$L$11,$M$11,IF(($B$4+G113)&gt;=$L$12,$M$12,INDEX($M$11:$M$12,MATCH(($B$4+G113),$L$11:$L$12,1))+(INDEX($M$11:$M$12,MATCH(($B$4+G113),$L$11:$L$12,1)+1)-INDEX($M$11:$M$12,MATCH(($B$4+G113),$L$11:$L$12,1)))*(($B$4+G113)-INDEX($L$11:$L$12,MATCH(($B$4+G113),$L$11:$L$12,1)))/(INDEX($L$11:$L$12,MATCH(($B$4+G113),$L$11:$L$12,1)+1)-INDEX($L$11:$L$12,MATCH(($B$4+G113),$L$11:$L$12,1)))))),1)</f>
        <v>1</v>
      </c>
    </row>
    <row r="114" customFormat="false" ht="15" hidden="false" customHeight="false" outlineLevel="0" collapsed="false">
      <c r="A114" s="32" t="n">
        <f aca="false">$B$32+0.125+54*0.25</f>
        <v>36.735</v>
      </c>
      <c r="B114" s="27" t="n">
        <f aca="false">IF(A114&lt;$B$31,1,0)</f>
        <v>1</v>
      </c>
      <c r="C114" s="43" t="n">
        <f aca="false">IF($B$7="Oui",1+((IF(($B$4+A114)&lt;=$I$11,$J$11,IF(($B$4+A114)&gt;=$I$33,$J$33,INDEX($J$11:$J$33,MATCH(($B$4+A114),$I$11:$I$33,1))+(INDEX($J$11:$J$33,MATCH(($B$4+A114),$I$11:$I$33,1)+1)-INDEX($J$11:$J$33,MATCH(($B$4+A114),$I$11:$I$33,1)))*(($B$4+A114)-INDEX($I$11:$I$33,MATCH(($B$4+A114),$I$11:$I$33,1)))/(INDEX($I$11:$I$33,MATCH(($B$4+A114),$I$11:$I$33,1)+1)-INDEX($I$11:$I$33,MATCH(($B$4+A114),$I$11:$I$33,1))))))-(IF(($B$4+A114)&lt;=$L$11,$M$11,IF(($B$4+A114)&gt;=$L$12,$M$12,INDEX($M$11:$M$12,MATCH(($B$4+A114),$L$11:$L$12,1))+(INDEX($M$11:$M$12,MATCH(($B$4+A114),$L$11:$L$12,1)+1)-INDEX($M$11:$M$12,MATCH(($B$4+A114),$L$11:$L$12,1)))*(($B$4+A114)-INDEX($L$11:$L$12,MATCH(($B$4+A114),$L$11:$L$12,1)))/(INDEX($L$11:$L$12,MATCH(($B$4+A114),$L$11:$L$12,1)+1)-INDEX($L$11:$L$12,MATCH(($B$4+A114),$L$11:$L$12,1)))))))/(1-(IF(($B$4+A114)&lt;=$I$11,$J$11,IF(($B$4+A114)&gt;=$I$33,$J$33,INDEX($J$11:$J$33,MATCH(($B$4+A114),$I$11:$I$33,1))+(INDEX($J$11:$J$33,MATCH(($B$4+A114),$I$11:$I$33,1)+1)-INDEX($J$11:$J$33,MATCH(($B$4+A114),$I$11:$I$33,1)))*(($B$4+A114)-INDEX($I$11:$I$33,MATCH(($B$4+A114),$I$11:$I$33,1)))/(INDEX($I$11:$I$33,MATCH(($B$4+A114),$I$11:$I$33,1)+1)-INDEX($I$11:$I$33,MATCH(($B$4+A114),$I$11:$I$33,1))))))),1)</f>
        <v>1</v>
      </c>
      <c r="D114" s="43" t="n">
        <f aca="false">B114*(1+$B$30)^(-A114)</f>
        <v>0.64239511456416</v>
      </c>
      <c r="E114" s="43" t="n">
        <f aca="false">B114*C114*(1+$B$5)^(-A114)</f>
        <v>1</v>
      </c>
      <c r="G114" s="32" t="n">
        <f aca="false">$B$31+0.125+54*0.25</f>
        <v>76.065</v>
      </c>
      <c r="H114" s="27" t="n">
        <f aca="false">IF(G114&lt;$B$33,1,0)</f>
        <v>1</v>
      </c>
      <c r="I114" s="43" t="n">
        <f aca="false">H114*(1-$B$6)^(G114-$B$31)*(1+$B$30)^(-G114)</f>
        <v>0.34878430001898</v>
      </c>
      <c r="J114" s="43" t="n">
        <f aca="false">H114*(1-$B$6)^(G114-$B$31)*L114*(1+$B$5)^(-G114)</f>
        <v>0.872026185741507</v>
      </c>
      <c r="L114" s="43" t="n">
        <f aca="false">IF($B$7="Oui",1-(IF(($B$4+G114)&lt;=$L$11,$M$11,IF(($B$4+G114)&gt;=$L$12,$M$12,INDEX($M$11:$M$12,MATCH(($B$4+G114),$L$11:$L$12,1))+(INDEX($M$11:$M$12,MATCH(($B$4+G114),$L$11:$L$12,1)+1)-INDEX($M$11:$M$12,MATCH(($B$4+G114),$L$11:$L$12,1)))*(($B$4+G114)-INDEX($L$11:$L$12,MATCH(($B$4+G114),$L$11:$L$12,1)))/(INDEX($L$11:$L$12,MATCH(($B$4+G114),$L$11:$L$12,1)+1)-INDEX($L$11:$L$12,MATCH(($B$4+G114),$L$11:$L$12,1)))))),1)</f>
        <v>1</v>
      </c>
    </row>
    <row r="115" customFormat="false" ht="15" hidden="false" customHeight="false" outlineLevel="0" collapsed="false">
      <c r="A115" s="32" t="n">
        <f aca="false">$B$32+0.125+55*0.25</f>
        <v>36.985</v>
      </c>
      <c r="B115" s="27" t="n">
        <f aca="false">IF(A115&lt;$B$31,1,0)</f>
        <v>1</v>
      </c>
      <c r="C115" s="43" t="n">
        <f aca="false">IF($B$7="Oui",1+((IF(($B$4+A115)&lt;=$I$11,$J$11,IF(($B$4+A115)&gt;=$I$33,$J$33,INDEX($J$11:$J$33,MATCH(($B$4+A115),$I$11:$I$33,1))+(INDEX($J$11:$J$33,MATCH(($B$4+A115),$I$11:$I$33,1)+1)-INDEX($J$11:$J$33,MATCH(($B$4+A115),$I$11:$I$33,1)))*(($B$4+A115)-INDEX($I$11:$I$33,MATCH(($B$4+A115),$I$11:$I$33,1)))/(INDEX($I$11:$I$33,MATCH(($B$4+A115),$I$11:$I$33,1)+1)-INDEX($I$11:$I$33,MATCH(($B$4+A115),$I$11:$I$33,1))))))-(IF(($B$4+A115)&lt;=$L$11,$M$11,IF(($B$4+A115)&gt;=$L$12,$M$12,INDEX($M$11:$M$12,MATCH(($B$4+A115),$L$11:$L$12,1))+(INDEX($M$11:$M$12,MATCH(($B$4+A115),$L$11:$L$12,1)+1)-INDEX($M$11:$M$12,MATCH(($B$4+A115),$L$11:$L$12,1)))*(($B$4+A115)-INDEX($L$11:$L$12,MATCH(($B$4+A115),$L$11:$L$12,1)))/(INDEX($L$11:$L$12,MATCH(($B$4+A115),$L$11:$L$12,1)+1)-INDEX($L$11:$L$12,MATCH(($B$4+A115),$L$11:$L$12,1)))))))/(1-(IF(($B$4+A115)&lt;=$I$11,$J$11,IF(($B$4+A115)&gt;=$I$33,$J$33,INDEX($J$11:$J$33,MATCH(($B$4+A115),$I$11:$I$33,1))+(INDEX($J$11:$J$33,MATCH(($B$4+A115),$I$11:$I$33,1)+1)-INDEX($J$11:$J$33,MATCH(($B$4+A115),$I$11:$I$33,1)))*(($B$4+A115)-INDEX($I$11:$I$33,MATCH(($B$4+A115),$I$11:$I$33,1)))/(INDEX($I$11:$I$33,MATCH(($B$4+A115),$I$11:$I$33,1)+1)-INDEX($I$11:$I$33,MATCH(($B$4+A115),$I$11:$I$33,1))))))),1)</f>
        <v>1</v>
      </c>
      <c r="D115" s="43" t="n">
        <f aca="false">B115*(1+$B$30)^(-A115)</f>
        <v>0.640463269059956</v>
      </c>
      <c r="E115" s="43" t="n">
        <f aca="false">B115*C115*(1+$B$5)^(-A115)</f>
        <v>1</v>
      </c>
      <c r="G115" s="32" t="n">
        <f aca="false">$B$31+0.125+55*0.25</f>
        <v>76.315</v>
      </c>
      <c r="H115" s="27" t="n">
        <f aca="false">IF(G115&lt;$B$33,1,0)</f>
        <v>1</v>
      </c>
      <c r="I115" s="43" t="n">
        <f aca="false">H115*(1-$B$6)^(G115-$B$31)*(1+$B$30)^(-G115)</f>
        <v>0.346862799204385</v>
      </c>
      <c r="J115" s="43" t="n">
        <f aca="false">H115*(1-$B$6)^(G115-$B$31)*L115*(1+$B$5)^(-G115)</f>
        <v>0.86983789701239</v>
      </c>
      <c r="L115" s="43" t="n">
        <f aca="false">IF($B$7="Oui",1-(IF(($B$4+G115)&lt;=$L$11,$M$11,IF(($B$4+G115)&gt;=$L$12,$M$12,INDEX($M$11:$M$12,MATCH(($B$4+G115),$L$11:$L$12,1))+(INDEX($M$11:$M$12,MATCH(($B$4+G115),$L$11:$L$12,1)+1)-INDEX($M$11:$M$12,MATCH(($B$4+G115),$L$11:$L$12,1)))*(($B$4+G115)-INDEX($L$11:$L$12,MATCH(($B$4+G115),$L$11:$L$12,1)))/(INDEX($L$11:$L$12,MATCH(($B$4+G115),$L$11:$L$12,1)+1)-INDEX($L$11:$L$12,MATCH(($B$4+G115),$L$11:$L$12,1)))))),1)</f>
        <v>1</v>
      </c>
    </row>
    <row r="116" customFormat="false" ht="15" hidden="false" customHeight="false" outlineLevel="0" collapsed="false">
      <c r="A116" s="32" t="n">
        <f aca="false">$B$32+0.125+56*0.25</f>
        <v>37.235</v>
      </c>
      <c r="B116" s="27" t="n">
        <f aca="false">IF(A116&lt;$B$31,1,0)</f>
        <v>1</v>
      </c>
      <c r="C116" s="43" t="n">
        <f aca="false">IF($B$7="Oui",1+((IF(($B$4+A116)&lt;=$I$11,$J$11,IF(($B$4+A116)&gt;=$I$33,$J$33,INDEX($J$11:$J$33,MATCH(($B$4+A116),$I$11:$I$33,1))+(INDEX($J$11:$J$33,MATCH(($B$4+A116),$I$11:$I$33,1)+1)-INDEX($J$11:$J$33,MATCH(($B$4+A116),$I$11:$I$33,1)))*(($B$4+A116)-INDEX($I$11:$I$33,MATCH(($B$4+A116),$I$11:$I$33,1)))/(INDEX($I$11:$I$33,MATCH(($B$4+A116),$I$11:$I$33,1)+1)-INDEX($I$11:$I$33,MATCH(($B$4+A116),$I$11:$I$33,1))))))-(IF(($B$4+A116)&lt;=$L$11,$M$11,IF(($B$4+A116)&gt;=$L$12,$M$12,INDEX($M$11:$M$12,MATCH(($B$4+A116),$L$11:$L$12,1))+(INDEX($M$11:$M$12,MATCH(($B$4+A116),$L$11:$L$12,1)+1)-INDEX($M$11:$M$12,MATCH(($B$4+A116),$L$11:$L$12,1)))*(($B$4+A116)-INDEX($L$11:$L$12,MATCH(($B$4+A116),$L$11:$L$12,1)))/(INDEX($L$11:$L$12,MATCH(($B$4+A116),$L$11:$L$12,1)+1)-INDEX($L$11:$L$12,MATCH(($B$4+A116),$L$11:$L$12,1)))))))/(1-(IF(($B$4+A116)&lt;=$I$11,$J$11,IF(($B$4+A116)&gt;=$I$33,$J$33,INDEX($J$11:$J$33,MATCH(($B$4+A116),$I$11:$I$33,1))+(INDEX($J$11:$J$33,MATCH(($B$4+A116),$I$11:$I$33,1)+1)-INDEX($J$11:$J$33,MATCH(($B$4+A116),$I$11:$I$33,1)))*(($B$4+A116)-INDEX($I$11:$I$33,MATCH(($B$4+A116),$I$11:$I$33,1)))/(INDEX($I$11:$I$33,MATCH(($B$4+A116),$I$11:$I$33,1)+1)-INDEX($I$11:$I$33,MATCH(($B$4+A116),$I$11:$I$33,1))))))),1)</f>
        <v>1</v>
      </c>
      <c r="D116" s="43" t="n">
        <f aca="false">B116*(1+$B$30)^(-A116)</f>
        <v>0.638537233106553</v>
      </c>
      <c r="E116" s="43" t="n">
        <f aca="false">B116*C116*(1+$B$5)^(-A116)</f>
        <v>1</v>
      </c>
      <c r="G116" s="32" t="n">
        <f aca="false">$B$31+0.125+56*0.25</f>
        <v>76.565</v>
      </c>
      <c r="H116" s="27" t="n">
        <f aca="false">IF(G116&lt;$B$33,1,0)</f>
        <v>1</v>
      </c>
      <c r="I116" s="43" t="n">
        <f aca="false">H116*(1-$B$6)^(G116-$B$31)*(1+$B$30)^(-G116)</f>
        <v>0.3449518842028</v>
      </c>
      <c r="J116" s="43" t="n">
        <f aca="false">H116*(1-$B$6)^(G116-$B$31)*L116*(1+$B$5)^(-G116)</f>
        <v>0.867655099640804</v>
      </c>
      <c r="L116" s="43" t="n">
        <f aca="false">IF($B$7="Oui",1-(IF(($B$4+G116)&lt;=$L$11,$M$11,IF(($B$4+G116)&gt;=$L$12,$M$12,INDEX($M$11:$M$12,MATCH(($B$4+G116),$L$11:$L$12,1))+(INDEX($M$11:$M$12,MATCH(($B$4+G116),$L$11:$L$12,1)+1)-INDEX($M$11:$M$12,MATCH(($B$4+G116),$L$11:$L$12,1)))*(($B$4+G116)-INDEX($L$11:$L$12,MATCH(($B$4+G116),$L$11:$L$12,1)))/(INDEX($L$11:$L$12,MATCH(($B$4+G116),$L$11:$L$12,1)+1)-INDEX($L$11:$L$12,MATCH(($B$4+G116),$L$11:$L$12,1)))))),1)</f>
        <v>1</v>
      </c>
    </row>
    <row r="117" customFormat="false" ht="15" hidden="false" customHeight="false" outlineLevel="0" collapsed="false">
      <c r="A117" s="32" t="n">
        <f aca="false">$B$32+0.125+57*0.25</f>
        <v>37.485</v>
      </c>
      <c r="B117" s="27" t="n">
        <f aca="false">IF(A117&lt;$B$31,1,0)</f>
        <v>1</v>
      </c>
      <c r="C117" s="43" t="n">
        <f aca="false">IF($B$7="Oui",1+((IF(($B$4+A117)&lt;=$I$11,$J$11,IF(($B$4+A117)&gt;=$I$33,$J$33,INDEX($J$11:$J$33,MATCH(($B$4+A117),$I$11:$I$33,1))+(INDEX($J$11:$J$33,MATCH(($B$4+A117),$I$11:$I$33,1)+1)-INDEX($J$11:$J$33,MATCH(($B$4+A117),$I$11:$I$33,1)))*(($B$4+A117)-INDEX($I$11:$I$33,MATCH(($B$4+A117),$I$11:$I$33,1)))/(INDEX($I$11:$I$33,MATCH(($B$4+A117),$I$11:$I$33,1)+1)-INDEX($I$11:$I$33,MATCH(($B$4+A117),$I$11:$I$33,1))))))-(IF(($B$4+A117)&lt;=$L$11,$M$11,IF(($B$4+A117)&gt;=$L$12,$M$12,INDEX($M$11:$M$12,MATCH(($B$4+A117),$L$11:$L$12,1))+(INDEX($M$11:$M$12,MATCH(($B$4+A117),$L$11:$L$12,1)+1)-INDEX($M$11:$M$12,MATCH(($B$4+A117),$L$11:$L$12,1)))*(($B$4+A117)-INDEX($L$11:$L$12,MATCH(($B$4+A117),$L$11:$L$12,1)))/(INDEX($L$11:$L$12,MATCH(($B$4+A117),$L$11:$L$12,1)+1)-INDEX($L$11:$L$12,MATCH(($B$4+A117),$L$11:$L$12,1)))))))/(1-(IF(($B$4+A117)&lt;=$I$11,$J$11,IF(($B$4+A117)&gt;=$I$33,$J$33,INDEX($J$11:$J$33,MATCH(($B$4+A117),$I$11:$I$33,1))+(INDEX($J$11:$J$33,MATCH(($B$4+A117),$I$11:$I$33,1)+1)-INDEX($J$11:$J$33,MATCH(($B$4+A117),$I$11:$I$33,1)))*(($B$4+A117)-INDEX($I$11:$I$33,MATCH(($B$4+A117),$I$11:$I$33,1)))/(INDEX($I$11:$I$33,MATCH(($B$4+A117),$I$11:$I$33,1)+1)-INDEX($I$11:$I$33,MATCH(($B$4+A117),$I$11:$I$33,1))))))),1)</f>
        <v>1</v>
      </c>
      <c r="D117" s="43" t="n">
        <f aca="false">B117*(1+$B$30)^(-A117)</f>
        <v>0.636616989233154</v>
      </c>
      <c r="E117" s="43" t="n">
        <f aca="false">B117*C117*(1+$B$5)^(-A117)</f>
        <v>1</v>
      </c>
      <c r="G117" s="32" t="n">
        <f aca="false">$B$31+0.125+57*0.25</f>
        <v>76.815</v>
      </c>
      <c r="H117" s="27" t="n">
        <f aca="false">IF(G117&lt;$B$33,1,0)</f>
        <v>1</v>
      </c>
      <c r="I117" s="43" t="n">
        <f aca="false">H117*(1-$B$6)^(G117-$B$31)*(1+$B$30)^(-G117)</f>
        <v>0.34305149669552</v>
      </c>
      <c r="J117" s="43" t="n">
        <f aca="false">H117*(1-$B$6)^(G117-$B$31)*L117*(1+$B$5)^(-G117)</f>
        <v>0.86547777984657</v>
      </c>
      <c r="L117" s="43" t="n">
        <f aca="false">IF($B$7="Oui",1-(IF(($B$4+G117)&lt;=$L$11,$M$11,IF(($B$4+G117)&gt;=$L$12,$M$12,INDEX($M$11:$M$12,MATCH(($B$4+G117),$L$11:$L$12,1))+(INDEX($M$11:$M$12,MATCH(($B$4+G117),$L$11:$L$12,1)+1)-INDEX($M$11:$M$12,MATCH(($B$4+G117),$L$11:$L$12,1)))*(($B$4+G117)-INDEX($L$11:$L$12,MATCH(($B$4+G117),$L$11:$L$12,1)))/(INDEX($L$11:$L$12,MATCH(($B$4+G117),$L$11:$L$12,1)+1)-INDEX($L$11:$L$12,MATCH(($B$4+G117),$L$11:$L$12,1)))))),1)</f>
        <v>1</v>
      </c>
    </row>
    <row r="118" customFormat="false" ht="15" hidden="false" customHeight="false" outlineLevel="0" collapsed="false">
      <c r="A118" s="32" t="n">
        <f aca="false">$B$32+0.125+58*0.25</f>
        <v>37.735</v>
      </c>
      <c r="B118" s="27" t="n">
        <f aca="false">IF(A118&lt;$B$31,1,0)</f>
        <v>1</v>
      </c>
      <c r="C118" s="43" t="n">
        <f aca="false">IF($B$7="Oui",1+((IF(($B$4+A118)&lt;=$I$11,$J$11,IF(($B$4+A118)&gt;=$I$33,$J$33,INDEX($J$11:$J$33,MATCH(($B$4+A118),$I$11:$I$33,1))+(INDEX($J$11:$J$33,MATCH(($B$4+A118),$I$11:$I$33,1)+1)-INDEX($J$11:$J$33,MATCH(($B$4+A118),$I$11:$I$33,1)))*(($B$4+A118)-INDEX($I$11:$I$33,MATCH(($B$4+A118),$I$11:$I$33,1)))/(INDEX($I$11:$I$33,MATCH(($B$4+A118),$I$11:$I$33,1)+1)-INDEX($I$11:$I$33,MATCH(($B$4+A118),$I$11:$I$33,1))))))-(IF(($B$4+A118)&lt;=$L$11,$M$11,IF(($B$4+A118)&gt;=$L$12,$M$12,INDEX($M$11:$M$12,MATCH(($B$4+A118),$L$11:$L$12,1))+(INDEX($M$11:$M$12,MATCH(($B$4+A118),$L$11:$L$12,1)+1)-INDEX($M$11:$M$12,MATCH(($B$4+A118),$L$11:$L$12,1)))*(($B$4+A118)-INDEX($L$11:$L$12,MATCH(($B$4+A118),$L$11:$L$12,1)))/(INDEX($L$11:$L$12,MATCH(($B$4+A118),$L$11:$L$12,1)+1)-INDEX($L$11:$L$12,MATCH(($B$4+A118),$L$11:$L$12,1)))))))/(1-(IF(($B$4+A118)&lt;=$I$11,$J$11,IF(($B$4+A118)&gt;=$I$33,$J$33,INDEX($J$11:$J$33,MATCH(($B$4+A118),$I$11:$I$33,1))+(INDEX($J$11:$J$33,MATCH(($B$4+A118),$I$11:$I$33,1)+1)-INDEX($J$11:$J$33,MATCH(($B$4+A118),$I$11:$I$33,1)))*(($B$4+A118)-INDEX($I$11:$I$33,MATCH(($B$4+A118),$I$11:$I$33,1)))/(INDEX($I$11:$I$33,MATCH(($B$4+A118),$I$11:$I$33,1)+1)-INDEX($I$11:$I$33,MATCH(($B$4+A118),$I$11:$I$33,1))))))),1)</f>
        <v>1</v>
      </c>
      <c r="D118" s="43" t="n">
        <f aca="false">B118*(1+$B$30)^(-A118)</f>
        <v>0.6347025200215</v>
      </c>
      <c r="E118" s="43" t="n">
        <f aca="false">B118*C118*(1+$B$5)^(-A118)</f>
        <v>1</v>
      </c>
      <c r="G118" s="32" t="n">
        <f aca="false">$B$31+0.125+58*0.25</f>
        <v>77.065</v>
      </c>
      <c r="H118" s="27" t="n">
        <f aca="false">IF(G118&lt;$B$33,1,0)</f>
        <v>1</v>
      </c>
      <c r="I118" s="43" t="n">
        <f aca="false">H118*(1-$B$6)^(G118-$B$31)*(1+$B$30)^(-G118)</f>
        <v>0.341161578685126</v>
      </c>
      <c r="J118" s="43" t="n">
        <f aca="false">H118*(1-$B$6)^(G118-$B$31)*L118*(1+$B$5)^(-G118)</f>
        <v>0.863305923884092</v>
      </c>
      <c r="L118" s="43" t="n">
        <f aca="false">IF($B$7="Oui",1-(IF(($B$4+G118)&lt;=$L$11,$M$11,IF(($B$4+G118)&gt;=$L$12,$M$12,INDEX($M$11:$M$12,MATCH(($B$4+G118),$L$11:$L$12,1))+(INDEX($M$11:$M$12,MATCH(($B$4+G118),$L$11:$L$12,1)+1)-INDEX($M$11:$M$12,MATCH(($B$4+G118),$L$11:$L$12,1)))*(($B$4+G118)-INDEX($L$11:$L$12,MATCH(($B$4+G118),$L$11:$L$12,1)))/(INDEX($L$11:$L$12,MATCH(($B$4+G118),$L$11:$L$12,1)+1)-INDEX($L$11:$L$12,MATCH(($B$4+G118),$L$11:$L$12,1)))))),1)</f>
        <v>1</v>
      </c>
    </row>
    <row r="119" customFormat="false" ht="15" hidden="false" customHeight="false" outlineLevel="0" collapsed="false">
      <c r="A119" s="32" t="n">
        <f aca="false">$B$32+0.125+59*0.25</f>
        <v>37.985</v>
      </c>
      <c r="B119" s="27" t="n">
        <f aca="false">IF(A119&lt;$B$31,1,0)</f>
        <v>1</v>
      </c>
      <c r="C119" s="43" t="n">
        <f aca="false">IF($B$7="Oui",1+((IF(($B$4+A119)&lt;=$I$11,$J$11,IF(($B$4+A119)&gt;=$I$33,$J$33,INDEX($J$11:$J$33,MATCH(($B$4+A119),$I$11:$I$33,1))+(INDEX($J$11:$J$33,MATCH(($B$4+A119),$I$11:$I$33,1)+1)-INDEX($J$11:$J$33,MATCH(($B$4+A119),$I$11:$I$33,1)))*(($B$4+A119)-INDEX($I$11:$I$33,MATCH(($B$4+A119),$I$11:$I$33,1)))/(INDEX($I$11:$I$33,MATCH(($B$4+A119),$I$11:$I$33,1)+1)-INDEX($I$11:$I$33,MATCH(($B$4+A119),$I$11:$I$33,1))))))-(IF(($B$4+A119)&lt;=$L$11,$M$11,IF(($B$4+A119)&gt;=$L$12,$M$12,INDEX($M$11:$M$12,MATCH(($B$4+A119),$L$11:$L$12,1))+(INDEX($M$11:$M$12,MATCH(($B$4+A119),$L$11:$L$12,1)+1)-INDEX($M$11:$M$12,MATCH(($B$4+A119),$L$11:$L$12,1)))*(($B$4+A119)-INDEX($L$11:$L$12,MATCH(($B$4+A119),$L$11:$L$12,1)))/(INDEX($L$11:$L$12,MATCH(($B$4+A119),$L$11:$L$12,1)+1)-INDEX($L$11:$L$12,MATCH(($B$4+A119),$L$11:$L$12,1)))))))/(1-(IF(($B$4+A119)&lt;=$I$11,$J$11,IF(($B$4+A119)&gt;=$I$33,$J$33,INDEX($J$11:$J$33,MATCH(($B$4+A119),$I$11:$I$33,1))+(INDEX($J$11:$J$33,MATCH(($B$4+A119),$I$11:$I$33,1)+1)-INDEX($J$11:$J$33,MATCH(($B$4+A119),$I$11:$I$33,1)))*(($B$4+A119)-INDEX($I$11:$I$33,MATCH(($B$4+A119),$I$11:$I$33,1)))/(INDEX($I$11:$I$33,MATCH(($B$4+A119),$I$11:$I$33,1)+1)-INDEX($I$11:$I$33,MATCH(($B$4+A119),$I$11:$I$33,1))))))),1)</f>
        <v>1</v>
      </c>
      <c r="D119" s="43" t="n">
        <f aca="false">B119*(1+$B$30)^(-A119)</f>
        <v>0.632793808105715</v>
      </c>
      <c r="E119" s="43" t="n">
        <f aca="false">B119*C119*(1+$B$5)^(-A119)</f>
        <v>1</v>
      </c>
      <c r="G119" s="32" t="n">
        <f aca="false">$B$31+0.125+59*0.25</f>
        <v>77.315</v>
      </c>
      <c r="H119" s="27" t="n">
        <f aca="false">IF(G119&lt;$B$33,1,0)</f>
        <v>1</v>
      </c>
      <c r="I119" s="43" t="n">
        <f aca="false">H119*(1-$B$6)^(G119-$B$31)*(1+$B$30)^(-G119)</f>
        <v>0.339282072493718</v>
      </c>
      <c r="J119" s="43" t="n">
        <f aca="false">H119*(1-$B$6)^(G119-$B$31)*L119*(1+$B$5)^(-G119)</f>
        <v>0.861139518042266</v>
      </c>
      <c r="L119" s="43" t="n">
        <f aca="false">IF($B$7="Oui",1-(IF(($B$4+G119)&lt;=$L$11,$M$11,IF(($B$4+G119)&gt;=$L$12,$M$12,INDEX($M$11:$M$12,MATCH(($B$4+G119),$L$11:$L$12,1))+(INDEX($M$11:$M$12,MATCH(($B$4+G119),$L$11:$L$12,1)+1)-INDEX($M$11:$M$12,MATCH(($B$4+G119),$L$11:$L$12,1)))*(($B$4+G119)-INDEX($L$11:$L$12,MATCH(($B$4+G119),$L$11:$L$12,1)))/(INDEX($L$11:$L$12,MATCH(($B$4+G119),$L$11:$L$12,1)+1)-INDEX($L$11:$L$12,MATCH(($B$4+G119),$L$11:$L$12,1)))))),1)</f>
        <v>1</v>
      </c>
    </row>
    <row r="120" customFormat="false" ht="15" hidden="false" customHeight="false" outlineLevel="0" collapsed="false">
      <c r="A120" s="32" t="n">
        <f aca="false">$B$32+0.125+60*0.25</f>
        <v>38.235</v>
      </c>
      <c r="B120" s="27" t="n">
        <f aca="false">IF(A120&lt;$B$31,1,0)</f>
        <v>1</v>
      </c>
      <c r="C120" s="43" t="n">
        <f aca="false">IF($B$7="Oui",1+((IF(($B$4+A120)&lt;=$I$11,$J$11,IF(($B$4+A120)&gt;=$I$33,$J$33,INDEX($J$11:$J$33,MATCH(($B$4+A120),$I$11:$I$33,1))+(INDEX($J$11:$J$33,MATCH(($B$4+A120),$I$11:$I$33,1)+1)-INDEX($J$11:$J$33,MATCH(($B$4+A120),$I$11:$I$33,1)))*(($B$4+A120)-INDEX($I$11:$I$33,MATCH(($B$4+A120),$I$11:$I$33,1)))/(INDEX($I$11:$I$33,MATCH(($B$4+A120),$I$11:$I$33,1)+1)-INDEX($I$11:$I$33,MATCH(($B$4+A120),$I$11:$I$33,1))))))-(IF(($B$4+A120)&lt;=$L$11,$M$11,IF(($B$4+A120)&gt;=$L$12,$M$12,INDEX($M$11:$M$12,MATCH(($B$4+A120),$L$11:$L$12,1))+(INDEX($M$11:$M$12,MATCH(($B$4+A120),$L$11:$L$12,1)+1)-INDEX($M$11:$M$12,MATCH(($B$4+A120),$L$11:$L$12,1)))*(($B$4+A120)-INDEX($L$11:$L$12,MATCH(($B$4+A120),$L$11:$L$12,1)))/(INDEX($L$11:$L$12,MATCH(($B$4+A120),$L$11:$L$12,1)+1)-INDEX($L$11:$L$12,MATCH(($B$4+A120),$L$11:$L$12,1)))))))/(1-(IF(($B$4+A120)&lt;=$I$11,$J$11,IF(($B$4+A120)&gt;=$I$33,$J$33,INDEX($J$11:$J$33,MATCH(($B$4+A120),$I$11:$I$33,1))+(INDEX($J$11:$J$33,MATCH(($B$4+A120),$I$11:$I$33,1)+1)-INDEX($J$11:$J$33,MATCH(($B$4+A120),$I$11:$I$33,1)))*(($B$4+A120)-INDEX($I$11:$I$33,MATCH(($B$4+A120),$I$11:$I$33,1)))/(INDEX($I$11:$I$33,MATCH(($B$4+A120),$I$11:$I$33,1)+1)-INDEX($I$11:$I$33,MATCH(($B$4+A120),$I$11:$I$33,1))))))),1)</f>
        <v>1</v>
      </c>
      <c r="D120" s="43" t="n">
        <f aca="false">B120*(1+$B$30)^(-A120)</f>
        <v>0.630890836172147</v>
      </c>
      <c r="E120" s="43" t="n">
        <f aca="false">B120*C120*(1+$B$5)^(-A120)</f>
        <v>1</v>
      </c>
      <c r="G120" s="32" t="n">
        <f aca="false">$B$31+0.125+60*0.25</f>
        <v>77.565</v>
      </c>
      <c r="H120" s="27" t="n">
        <f aca="false">IF(G120&lt;$B$33,1,0)</f>
        <v>1</v>
      </c>
      <c r="I120" s="43" t="n">
        <f aca="false">H120*(1-$B$6)^(G120-$B$31)*(1+$B$30)^(-G120)</f>
        <v>0.337412920761147</v>
      </c>
      <c r="J120" s="43" t="n">
        <f aca="false">H120*(1-$B$6)^(G120-$B$31)*L120*(1+$B$5)^(-G120)</f>
        <v>0.858978548644396</v>
      </c>
      <c r="L120" s="43" t="n">
        <f aca="false">IF($B$7="Oui",1-(IF(($B$4+G120)&lt;=$L$11,$M$11,IF(($B$4+G120)&gt;=$L$12,$M$12,INDEX($M$11:$M$12,MATCH(($B$4+G120),$L$11:$L$12,1))+(INDEX($M$11:$M$12,MATCH(($B$4+G120),$L$11:$L$12,1)+1)-INDEX($M$11:$M$12,MATCH(($B$4+G120),$L$11:$L$12,1)))*(($B$4+G120)-INDEX($L$11:$L$12,MATCH(($B$4+G120),$L$11:$L$12,1)))/(INDEX($L$11:$L$12,MATCH(($B$4+G120),$L$11:$L$12,1)+1)-INDEX($L$11:$L$12,MATCH(($B$4+G120),$L$11:$L$12,1)))))),1)</f>
        <v>1</v>
      </c>
    </row>
    <row r="121" customFormat="false" ht="15" hidden="false" customHeight="false" outlineLevel="0" collapsed="false">
      <c r="A121" s="32" t="n">
        <f aca="false">$B$32+0.125+61*0.25</f>
        <v>38.485</v>
      </c>
      <c r="B121" s="27" t="n">
        <f aca="false">IF(A121&lt;$B$31,1,0)</f>
        <v>1</v>
      </c>
      <c r="C121" s="43" t="n">
        <f aca="false">IF($B$7="Oui",1+((IF(($B$4+A121)&lt;=$I$11,$J$11,IF(($B$4+A121)&gt;=$I$33,$J$33,INDEX($J$11:$J$33,MATCH(($B$4+A121),$I$11:$I$33,1))+(INDEX($J$11:$J$33,MATCH(($B$4+A121),$I$11:$I$33,1)+1)-INDEX($J$11:$J$33,MATCH(($B$4+A121),$I$11:$I$33,1)))*(($B$4+A121)-INDEX($I$11:$I$33,MATCH(($B$4+A121),$I$11:$I$33,1)))/(INDEX($I$11:$I$33,MATCH(($B$4+A121),$I$11:$I$33,1)+1)-INDEX($I$11:$I$33,MATCH(($B$4+A121),$I$11:$I$33,1))))))-(IF(($B$4+A121)&lt;=$L$11,$M$11,IF(($B$4+A121)&gt;=$L$12,$M$12,INDEX($M$11:$M$12,MATCH(($B$4+A121),$L$11:$L$12,1))+(INDEX($M$11:$M$12,MATCH(($B$4+A121),$L$11:$L$12,1)+1)-INDEX($M$11:$M$12,MATCH(($B$4+A121),$L$11:$L$12,1)))*(($B$4+A121)-INDEX($L$11:$L$12,MATCH(($B$4+A121),$L$11:$L$12,1)))/(INDEX($L$11:$L$12,MATCH(($B$4+A121),$L$11:$L$12,1)+1)-INDEX($L$11:$L$12,MATCH(($B$4+A121),$L$11:$L$12,1)))))))/(1-(IF(($B$4+A121)&lt;=$I$11,$J$11,IF(($B$4+A121)&gt;=$I$33,$J$33,INDEX($J$11:$J$33,MATCH(($B$4+A121),$I$11:$I$33,1))+(INDEX($J$11:$J$33,MATCH(($B$4+A121),$I$11:$I$33,1)+1)-INDEX($J$11:$J$33,MATCH(($B$4+A121),$I$11:$I$33,1)))*(($B$4+A121)-INDEX($I$11:$I$33,MATCH(($B$4+A121),$I$11:$I$33,1)))/(INDEX($I$11:$I$33,MATCH(($B$4+A121),$I$11:$I$33,1)+1)-INDEX($I$11:$I$33,MATCH(($B$4+A121),$I$11:$I$33,1))))))),1)</f>
        <v>1</v>
      </c>
      <c r="D121" s="43" t="n">
        <f aca="false">B121*(1+$B$30)^(-A121)</f>
        <v>0.628993586959208</v>
      </c>
      <c r="E121" s="43" t="n">
        <f aca="false">B121*C121*(1+$B$5)^(-A121)</f>
        <v>1</v>
      </c>
      <c r="G121" s="32" t="n">
        <f aca="false">$B$31+0.125+61*0.25</f>
        <v>77.815</v>
      </c>
      <c r="H121" s="27" t="n">
        <f aca="false">IF(G121&lt;$B$33,1,0)</f>
        <v>1</v>
      </c>
      <c r="I121" s="43" t="n">
        <f aca="false">H121*(1-$B$6)^(G121-$B$31)*(1+$B$30)^(-G121)</f>
        <v>0.335554066443272</v>
      </c>
      <c r="J121" s="43" t="n">
        <f aca="false">H121*(1-$B$6)^(G121-$B$31)*L121*(1+$B$5)^(-G121)</f>
        <v>0.856823002048105</v>
      </c>
      <c r="L121" s="43" t="n">
        <f aca="false">IF($B$7="Oui",1-(IF(($B$4+G121)&lt;=$L$11,$M$11,IF(($B$4+G121)&gt;=$L$12,$M$12,INDEX($M$11:$M$12,MATCH(($B$4+G121),$L$11:$L$12,1))+(INDEX($M$11:$M$12,MATCH(($B$4+G121),$L$11:$L$12,1)+1)-INDEX($M$11:$M$12,MATCH(($B$4+G121),$L$11:$L$12,1)))*(($B$4+G121)-INDEX($L$11:$L$12,MATCH(($B$4+G121),$L$11:$L$12,1)))/(INDEX($L$11:$L$12,MATCH(($B$4+G121),$L$11:$L$12,1)+1)-INDEX($L$11:$L$12,MATCH(($B$4+G121),$L$11:$L$12,1)))))),1)</f>
        <v>1</v>
      </c>
    </row>
    <row r="122" customFormat="false" ht="15" hidden="false" customHeight="false" outlineLevel="0" collapsed="false">
      <c r="A122" s="32" t="n">
        <f aca="false">$B$32+0.125+62*0.25</f>
        <v>38.735</v>
      </c>
      <c r="B122" s="27" t="n">
        <f aca="false">IF(A122&lt;$B$31,1,0)</f>
        <v>1</v>
      </c>
      <c r="C122" s="43" t="n">
        <f aca="false">IF($B$7="Oui",1+((IF(($B$4+A122)&lt;=$I$11,$J$11,IF(($B$4+A122)&gt;=$I$33,$J$33,INDEX($J$11:$J$33,MATCH(($B$4+A122),$I$11:$I$33,1))+(INDEX($J$11:$J$33,MATCH(($B$4+A122),$I$11:$I$33,1)+1)-INDEX($J$11:$J$33,MATCH(($B$4+A122),$I$11:$I$33,1)))*(($B$4+A122)-INDEX($I$11:$I$33,MATCH(($B$4+A122),$I$11:$I$33,1)))/(INDEX($I$11:$I$33,MATCH(($B$4+A122),$I$11:$I$33,1)+1)-INDEX($I$11:$I$33,MATCH(($B$4+A122),$I$11:$I$33,1))))))-(IF(($B$4+A122)&lt;=$L$11,$M$11,IF(($B$4+A122)&gt;=$L$12,$M$12,INDEX($M$11:$M$12,MATCH(($B$4+A122),$L$11:$L$12,1))+(INDEX($M$11:$M$12,MATCH(($B$4+A122),$L$11:$L$12,1)+1)-INDEX($M$11:$M$12,MATCH(($B$4+A122),$L$11:$L$12,1)))*(($B$4+A122)-INDEX($L$11:$L$12,MATCH(($B$4+A122),$L$11:$L$12,1)))/(INDEX($L$11:$L$12,MATCH(($B$4+A122),$L$11:$L$12,1)+1)-INDEX($L$11:$L$12,MATCH(($B$4+A122),$L$11:$L$12,1)))))))/(1-(IF(($B$4+A122)&lt;=$I$11,$J$11,IF(($B$4+A122)&gt;=$I$33,$J$33,INDEX($J$11:$J$33,MATCH(($B$4+A122),$I$11:$I$33,1))+(INDEX($J$11:$J$33,MATCH(($B$4+A122),$I$11:$I$33,1)+1)-INDEX($J$11:$J$33,MATCH(($B$4+A122),$I$11:$I$33,1)))*(($B$4+A122)-INDEX($I$11:$I$33,MATCH(($B$4+A122),$I$11:$I$33,1)))/(INDEX($I$11:$I$33,MATCH(($B$4+A122),$I$11:$I$33,1)+1)-INDEX($I$11:$I$33,MATCH(($B$4+A122),$I$11:$I$33,1))))))),1)</f>
        <v>1</v>
      </c>
      <c r="D122" s="43" t="n">
        <f aca="false">B122*(1+$B$30)^(-A122)</f>
        <v>0.627102043257222</v>
      </c>
      <c r="E122" s="43" t="n">
        <f aca="false">B122*C122*(1+$B$5)^(-A122)</f>
        <v>1</v>
      </c>
      <c r="G122" s="32" t="n">
        <f aca="false">$B$31+0.125+62*0.25</f>
        <v>78.065</v>
      </c>
      <c r="H122" s="27" t="n">
        <f aca="false">IF(G122&lt;$B$33,1,0)</f>
        <v>1</v>
      </c>
      <c r="I122" s="43" t="n">
        <f aca="false">H122*(1-$B$6)^(G122-$B$31)*(1+$B$30)^(-G122)</f>
        <v>0.333705452810215</v>
      </c>
      <c r="J122" s="43" t="n">
        <f aca="false">H122*(1-$B$6)^(G122-$B$31)*L122*(1+$B$5)^(-G122)</f>
        <v>0.854672864645251</v>
      </c>
      <c r="L122" s="43" t="n">
        <f aca="false">IF($B$7="Oui",1-(IF(($B$4+G122)&lt;=$L$11,$M$11,IF(($B$4+G122)&gt;=$L$12,$M$12,INDEX($M$11:$M$12,MATCH(($B$4+G122),$L$11:$L$12,1))+(INDEX($M$11:$M$12,MATCH(($B$4+G122),$L$11:$L$12,1)+1)-INDEX($M$11:$M$12,MATCH(($B$4+G122),$L$11:$L$12,1)))*(($B$4+G122)-INDEX($L$11:$L$12,MATCH(($B$4+G122),$L$11:$L$12,1)))/(INDEX($L$11:$L$12,MATCH(($B$4+G122),$L$11:$L$12,1)+1)-INDEX($L$11:$L$12,MATCH(($B$4+G122),$L$11:$L$12,1)))))),1)</f>
        <v>1</v>
      </c>
    </row>
    <row r="123" customFormat="false" ht="15" hidden="false" customHeight="false" outlineLevel="0" collapsed="false">
      <c r="A123" s="32" t="n">
        <f aca="false">$B$32+0.125+63*0.25</f>
        <v>38.985</v>
      </c>
      <c r="B123" s="27" t="n">
        <f aca="false">IF(A123&lt;$B$31,1,0)</f>
        <v>1</v>
      </c>
      <c r="C123" s="43" t="n">
        <f aca="false">IF($B$7="Oui",1+((IF(($B$4+A123)&lt;=$I$11,$J$11,IF(($B$4+A123)&gt;=$I$33,$J$33,INDEX($J$11:$J$33,MATCH(($B$4+A123),$I$11:$I$33,1))+(INDEX($J$11:$J$33,MATCH(($B$4+A123),$I$11:$I$33,1)+1)-INDEX($J$11:$J$33,MATCH(($B$4+A123),$I$11:$I$33,1)))*(($B$4+A123)-INDEX($I$11:$I$33,MATCH(($B$4+A123),$I$11:$I$33,1)))/(INDEX($I$11:$I$33,MATCH(($B$4+A123),$I$11:$I$33,1)+1)-INDEX($I$11:$I$33,MATCH(($B$4+A123),$I$11:$I$33,1))))))-(IF(($B$4+A123)&lt;=$L$11,$M$11,IF(($B$4+A123)&gt;=$L$12,$M$12,INDEX($M$11:$M$12,MATCH(($B$4+A123),$L$11:$L$12,1))+(INDEX($M$11:$M$12,MATCH(($B$4+A123),$L$11:$L$12,1)+1)-INDEX($M$11:$M$12,MATCH(($B$4+A123),$L$11:$L$12,1)))*(($B$4+A123)-INDEX($L$11:$L$12,MATCH(($B$4+A123),$L$11:$L$12,1)))/(INDEX($L$11:$L$12,MATCH(($B$4+A123),$L$11:$L$12,1)+1)-INDEX($L$11:$L$12,MATCH(($B$4+A123),$L$11:$L$12,1)))))))/(1-(IF(($B$4+A123)&lt;=$I$11,$J$11,IF(($B$4+A123)&gt;=$I$33,$J$33,INDEX($J$11:$J$33,MATCH(($B$4+A123),$I$11:$I$33,1))+(INDEX($J$11:$J$33,MATCH(($B$4+A123),$I$11:$I$33,1)+1)-INDEX($J$11:$J$33,MATCH(($B$4+A123),$I$11:$I$33,1)))*(($B$4+A123)-INDEX($I$11:$I$33,MATCH(($B$4+A123),$I$11:$I$33,1)))/(INDEX($I$11:$I$33,MATCH(($B$4+A123),$I$11:$I$33,1)+1)-INDEX($I$11:$I$33,MATCH(($B$4+A123),$I$11:$I$33,1))))))),1)</f>
        <v>1</v>
      </c>
      <c r="D123" s="43" t="n">
        <f aca="false">B123*(1+$B$30)^(-A123)</f>
        <v>0.625216187908267</v>
      </c>
      <c r="E123" s="43" t="n">
        <f aca="false">B123*C123*(1+$B$5)^(-A123)</f>
        <v>1</v>
      </c>
      <c r="G123" s="32" t="n">
        <f aca="false">$B$31+0.125+63*0.25</f>
        <v>78.315</v>
      </c>
      <c r="H123" s="27" t="n">
        <f aca="false">IF(G123&lt;$B$33,1,0)</f>
        <v>1</v>
      </c>
      <c r="I123" s="43" t="n">
        <f aca="false">H123*(1-$B$6)^(G123-$B$31)*(1+$B$30)^(-G123)</f>
        <v>0.331867023444632</v>
      </c>
      <c r="J123" s="43" t="n">
        <f aca="false">H123*(1-$B$6)^(G123-$B$31)*L123*(1+$B$5)^(-G123)</f>
        <v>0.852528122861844</v>
      </c>
      <c r="L123" s="43" t="n">
        <f aca="false">IF($B$7="Oui",1-(IF(($B$4+G123)&lt;=$L$11,$M$11,IF(($B$4+G123)&gt;=$L$12,$M$12,INDEX($M$11:$M$12,MATCH(($B$4+G123),$L$11:$L$12,1))+(INDEX($M$11:$M$12,MATCH(($B$4+G123),$L$11:$L$12,1)+1)-INDEX($M$11:$M$12,MATCH(($B$4+G123),$L$11:$L$12,1)))*(($B$4+G123)-INDEX($L$11:$L$12,MATCH(($B$4+G123),$L$11:$L$12,1)))/(INDEX($L$11:$L$12,MATCH(($B$4+G123),$L$11:$L$12,1)+1)-INDEX($L$11:$L$12,MATCH(($B$4+G123),$L$11:$L$12,1)))))),1)</f>
        <v>1</v>
      </c>
    </row>
    <row r="124" customFormat="false" ht="15" hidden="false" customHeight="false" outlineLevel="0" collapsed="false">
      <c r="A124" s="32" t="n">
        <f aca="false">$B$32+0.125+64*0.25</f>
        <v>39.235</v>
      </c>
      <c r="B124" s="27" t="n">
        <f aca="false">IF(A124&lt;$B$31,1,0)</f>
        <v>1</v>
      </c>
      <c r="C124" s="43" t="n">
        <f aca="false">IF($B$7="Oui",1+((IF(($B$4+A124)&lt;=$I$11,$J$11,IF(($B$4+A124)&gt;=$I$33,$J$33,INDEX($J$11:$J$33,MATCH(($B$4+A124),$I$11:$I$33,1))+(INDEX($J$11:$J$33,MATCH(($B$4+A124),$I$11:$I$33,1)+1)-INDEX($J$11:$J$33,MATCH(($B$4+A124),$I$11:$I$33,1)))*(($B$4+A124)-INDEX($I$11:$I$33,MATCH(($B$4+A124),$I$11:$I$33,1)))/(INDEX($I$11:$I$33,MATCH(($B$4+A124),$I$11:$I$33,1)+1)-INDEX($I$11:$I$33,MATCH(($B$4+A124),$I$11:$I$33,1))))))-(IF(($B$4+A124)&lt;=$L$11,$M$11,IF(($B$4+A124)&gt;=$L$12,$M$12,INDEX($M$11:$M$12,MATCH(($B$4+A124),$L$11:$L$12,1))+(INDEX($M$11:$M$12,MATCH(($B$4+A124),$L$11:$L$12,1)+1)-INDEX($M$11:$M$12,MATCH(($B$4+A124),$L$11:$L$12,1)))*(($B$4+A124)-INDEX($L$11:$L$12,MATCH(($B$4+A124),$L$11:$L$12,1)))/(INDEX($L$11:$L$12,MATCH(($B$4+A124),$L$11:$L$12,1)+1)-INDEX($L$11:$L$12,MATCH(($B$4+A124),$L$11:$L$12,1)))))))/(1-(IF(($B$4+A124)&lt;=$I$11,$J$11,IF(($B$4+A124)&gt;=$I$33,$J$33,INDEX($J$11:$J$33,MATCH(($B$4+A124),$I$11:$I$33,1))+(INDEX($J$11:$J$33,MATCH(($B$4+A124),$I$11:$I$33,1)+1)-INDEX($J$11:$J$33,MATCH(($B$4+A124),$I$11:$I$33,1)))*(($B$4+A124)-INDEX($I$11:$I$33,MATCH(($B$4+A124),$I$11:$I$33,1)))/(INDEX($I$11:$I$33,MATCH(($B$4+A124),$I$11:$I$33,1)+1)-INDEX($I$11:$I$33,MATCH(($B$4+A124),$I$11:$I$33,1))))))),1)</f>
        <v>1</v>
      </c>
      <c r="D124" s="43" t="n">
        <f aca="false">B124*(1+$B$30)^(-A124)</f>
        <v>0.623336003806018</v>
      </c>
      <c r="E124" s="43" t="n">
        <f aca="false">B124*C124*(1+$B$5)^(-A124)</f>
        <v>1</v>
      </c>
      <c r="G124" s="32" t="n">
        <f aca="false">$B$31+0.125+64*0.25</f>
        <v>78.565</v>
      </c>
      <c r="H124" s="27" t="n">
        <f aca="false">IF(G124&lt;$B$33,1,0)</f>
        <v>1</v>
      </c>
      <c r="I124" s="43" t="n">
        <f aca="false">H124*(1-$B$6)^(G124-$B$31)*(1+$B$30)^(-G124)</f>
        <v>0.330038722239987</v>
      </c>
      <c r="J124" s="43" t="n">
        <f aca="false">H124*(1-$B$6)^(G124-$B$31)*L124*(1+$B$5)^(-G124)</f>
        <v>0.850388763157952</v>
      </c>
      <c r="L124" s="43" t="n">
        <f aca="false">IF($B$7="Oui",1-(IF(($B$4+G124)&lt;=$L$11,$M$11,IF(($B$4+G124)&gt;=$L$12,$M$12,INDEX($M$11:$M$12,MATCH(($B$4+G124),$L$11:$L$12,1))+(INDEX($M$11:$M$12,MATCH(($B$4+G124),$L$11:$L$12,1)+1)-INDEX($M$11:$M$12,MATCH(($B$4+G124),$L$11:$L$12,1)))*(($B$4+G124)-INDEX($L$11:$L$12,MATCH(($B$4+G124),$L$11:$L$12,1)))/(INDEX($L$11:$L$12,MATCH(($B$4+G124),$L$11:$L$12,1)+1)-INDEX($L$11:$L$12,MATCH(($B$4+G124),$L$11:$L$12,1)))))),1)</f>
        <v>1</v>
      </c>
    </row>
    <row r="125" customFormat="false" ht="15" hidden="false" customHeight="false" outlineLevel="0" collapsed="false">
      <c r="A125" s="32" t="n">
        <f aca="false">$B$32+0.125+65*0.25</f>
        <v>39.485</v>
      </c>
      <c r="B125" s="27" t="n">
        <f aca="false">IF(A125&lt;$B$31,1,0)</f>
        <v>1</v>
      </c>
      <c r="C125" s="43" t="n">
        <f aca="false">IF($B$7="Oui",1+((IF(($B$4+A125)&lt;=$I$11,$J$11,IF(($B$4+A125)&gt;=$I$33,$J$33,INDEX($J$11:$J$33,MATCH(($B$4+A125),$I$11:$I$33,1))+(INDEX($J$11:$J$33,MATCH(($B$4+A125),$I$11:$I$33,1)+1)-INDEX($J$11:$J$33,MATCH(($B$4+A125),$I$11:$I$33,1)))*(($B$4+A125)-INDEX($I$11:$I$33,MATCH(($B$4+A125),$I$11:$I$33,1)))/(INDEX($I$11:$I$33,MATCH(($B$4+A125),$I$11:$I$33,1)+1)-INDEX($I$11:$I$33,MATCH(($B$4+A125),$I$11:$I$33,1))))))-(IF(($B$4+A125)&lt;=$L$11,$M$11,IF(($B$4+A125)&gt;=$L$12,$M$12,INDEX($M$11:$M$12,MATCH(($B$4+A125),$L$11:$L$12,1))+(INDEX($M$11:$M$12,MATCH(($B$4+A125),$L$11:$L$12,1)+1)-INDEX($M$11:$M$12,MATCH(($B$4+A125),$L$11:$L$12,1)))*(($B$4+A125)-INDEX($L$11:$L$12,MATCH(($B$4+A125),$L$11:$L$12,1)))/(INDEX($L$11:$L$12,MATCH(($B$4+A125),$L$11:$L$12,1)+1)-INDEX($L$11:$L$12,MATCH(($B$4+A125),$L$11:$L$12,1)))))))/(1-(IF(($B$4+A125)&lt;=$I$11,$J$11,IF(($B$4+A125)&gt;=$I$33,$J$33,INDEX($J$11:$J$33,MATCH(($B$4+A125),$I$11:$I$33,1))+(INDEX($J$11:$J$33,MATCH(($B$4+A125),$I$11:$I$33,1)+1)-INDEX($J$11:$J$33,MATCH(($B$4+A125),$I$11:$I$33,1)))*(($B$4+A125)-INDEX($I$11:$I$33,MATCH(($B$4+A125),$I$11:$I$33,1)))/(INDEX($I$11:$I$33,MATCH(($B$4+A125),$I$11:$I$33,1)+1)-INDEX($I$11:$I$33,MATCH(($B$4+A125),$I$11:$I$33,1))))))),1)</f>
        <v>1</v>
      </c>
      <c r="D125" s="43" t="n">
        <f aca="false">B125*(1+$B$30)^(-A125)</f>
        <v>0.621461473895593</v>
      </c>
      <c r="E125" s="43" t="n">
        <f aca="false">B125*C125*(1+$B$5)^(-A125)</f>
        <v>1</v>
      </c>
      <c r="G125" s="32" t="n">
        <f aca="false">$B$31+0.125+65*0.25</f>
        <v>78.815</v>
      </c>
      <c r="H125" s="27" t="n">
        <f aca="false">IF(G125&lt;$B$33,1,0)</f>
        <v>1</v>
      </c>
      <c r="I125" s="43" t="n">
        <f aca="false">H125*(1-$B$6)^(G125-$B$31)*(1+$B$30)^(-G125)</f>
        <v>0.328220493398845</v>
      </c>
      <c r="J125" s="43" t="n">
        <f aca="false">H125*(1-$B$6)^(G125-$B$31)*L125*(1+$B$5)^(-G125)</f>
        <v>0.848254772027623</v>
      </c>
      <c r="L125" s="43" t="n">
        <f aca="false">IF($B$7="Oui",1-(IF(($B$4+G125)&lt;=$L$11,$M$11,IF(($B$4+G125)&gt;=$L$12,$M$12,INDEX($M$11:$M$12,MATCH(($B$4+G125),$L$11:$L$12,1))+(INDEX($M$11:$M$12,MATCH(($B$4+G125),$L$11:$L$12,1)+1)-INDEX($M$11:$M$12,MATCH(($B$4+G125),$L$11:$L$12,1)))*(($B$4+G125)-INDEX($L$11:$L$12,MATCH(($B$4+G125),$L$11:$L$12,1)))/(INDEX($L$11:$L$12,MATCH(($B$4+G125),$L$11:$L$12,1)+1)-INDEX($L$11:$L$12,MATCH(($B$4+G125),$L$11:$L$12,1)))))),1)</f>
        <v>1</v>
      </c>
    </row>
    <row r="126" customFormat="false" ht="15" hidden="false" customHeight="false" outlineLevel="0" collapsed="false">
      <c r="A126" s="32" t="n">
        <f aca="false">$B$32+0.125+66*0.25</f>
        <v>39.735</v>
      </c>
      <c r="B126" s="27" t="n">
        <f aca="false">IF(A126&lt;$B$31,1,0)</f>
        <v>1</v>
      </c>
      <c r="C126" s="43" t="n">
        <f aca="false">IF($B$7="Oui",1+((IF(($B$4+A126)&lt;=$I$11,$J$11,IF(($B$4+A126)&gt;=$I$33,$J$33,INDEX($J$11:$J$33,MATCH(($B$4+A126),$I$11:$I$33,1))+(INDEX($J$11:$J$33,MATCH(($B$4+A126),$I$11:$I$33,1)+1)-INDEX($J$11:$J$33,MATCH(($B$4+A126),$I$11:$I$33,1)))*(($B$4+A126)-INDEX($I$11:$I$33,MATCH(($B$4+A126),$I$11:$I$33,1)))/(INDEX($I$11:$I$33,MATCH(($B$4+A126),$I$11:$I$33,1)+1)-INDEX($I$11:$I$33,MATCH(($B$4+A126),$I$11:$I$33,1))))))-(IF(($B$4+A126)&lt;=$L$11,$M$11,IF(($B$4+A126)&gt;=$L$12,$M$12,INDEX($M$11:$M$12,MATCH(($B$4+A126),$L$11:$L$12,1))+(INDEX($M$11:$M$12,MATCH(($B$4+A126),$L$11:$L$12,1)+1)-INDEX($M$11:$M$12,MATCH(($B$4+A126),$L$11:$L$12,1)))*(($B$4+A126)-INDEX($L$11:$L$12,MATCH(($B$4+A126),$L$11:$L$12,1)))/(INDEX($L$11:$L$12,MATCH(($B$4+A126),$L$11:$L$12,1)+1)-INDEX($L$11:$L$12,MATCH(($B$4+A126),$L$11:$L$12,1)))))))/(1-(IF(($B$4+A126)&lt;=$I$11,$J$11,IF(($B$4+A126)&gt;=$I$33,$J$33,INDEX($J$11:$J$33,MATCH(($B$4+A126),$I$11:$I$33,1))+(INDEX($J$11:$J$33,MATCH(($B$4+A126),$I$11:$I$33,1)+1)-INDEX($J$11:$J$33,MATCH(($B$4+A126),$I$11:$I$33,1)))*(($B$4+A126)-INDEX($I$11:$I$33,MATCH(($B$4+A126),$I$11:$I$33,1)))/(INDEX($I$11:$I$33,MATCH(($B$4+A126),$I$11:$I$33,1)+1)-INDEX($I$11:$I$33,MATCH(($B$4+A126),$I$11:$I$33,1))))))),1)</f>
        <v>1</v>
      </c>
      <c r="D126" s="43" t="n">
        <f aca="false">B126*(1+$B$30)^(-A126)</f>
        <v>0.619592581173401</v>
      </c>
      <c r="E126" s="43" t="n">
        <f aca="false">B126*C126*(1+$B$5)^(-A126)</f>
        <v>1</v>
      </c>
      <c r="G126" s="32" t="n">
        <f aca="false">$B$31+0.125+66*0.25</f>
        <v>79.065</v>
      </c>
      <c r="H126" s="27" t="n">
        <f aca="false">IF(G126&lt;$B$33,1,0)</f>
        <v>1</v>
      </c>
      <c r="I126" s="43" t="n">
        <f aca="false">H126*(1-$B$6)^(G126-$B$31)*(1+$B$30)^(-G126)</f>
        <v>0.326412281431167</v>
      </c>
      <c r="J126" s="43" t="n">
        <f aca="false">H126*(1-$B$6)^(G126-$B$31)*L126*(1+$B$5)^(-G126)</f>
        <v>0.846126135998799</v>
      </c>
      <c r="L126" s="43" t="n">
        <f aca="false">IF($B$7="Oui",1-(IF(($B$4+G126)&lt;=$L$11,$M$11,IF(($B$4+G126)&gt;=$L$12,$M$12,INDEX($M$11:$M$12,MATCH(($B$4+G126),$L$11:$L$12,1))+(INDEX($M$11:$M$12,MATCH(($B$4+G126),$L$11:$L$12,1)+1)-INDEX($M$11:$M$12,MATCH(($B$4+G126),$L$11:$L$12,1)))*(($B$4+G126)-INDEX($L$11:$L$12,MATCH(($B$4+G126),$L$11:$L$12,1)))/(INDEX($L$11:$L$12,MATCH(($B$4+G126),$L$11:$L$12,1)+1)-INDEX($L$11:$L$12,MATCH(($B$4+G126),$L$11:$L$12,1)))))),1)</f>
        <v>1</v>
      </c>
    </row>
    <row r="127" customFormat="false" ht="15" hidden="false" customHeight="false" outlineLevel="0" collapsed="false">
      <c r="A127" s="32" t="n">
        <f aca="false">$B$32+0.125+67*0.25</f>
        <v>39.985</v>
      </c>
      <c r="B127" s="27" t="n">
        <f aca="false">IF(A127&lt;$B$31,1,0)</f>
        <v>1</v>
      </c>
      <c r="C127" s="43" t="n">
        <f aca="false">IF($B$7="Oui",1+((IF(($B$4+A127)&lt;=$I$11,$J$11,IF(($B$4+A127)&gt;=$I$33,$J$33,INDEX($J$11:$J$33,MATCH(($B$4+A127),$I$11:$I$33,1))+(INDEX($J$11:$J$33,MATCH(($B$4+A127),$I$11:$I$33,1)+1)-INDEX($J$11:$J$33,MATCH(($B$4+A127),$I$11:$I$33,1)))*(($B$4+A127)-INDEX($I$11:$I$33,MATCH(($B$4+A127),$I$11:$I$33,1)))/(INDEX($I$11:$I$33,MATCH(($B$4+A127),$I$11:$I$33,1)+1)-INDEX($I$11:$I$33,MATCH(($B$4+A127),$I$11:$I$33,1))))))-(IF(($B$4+A127)&lt;=$L$11,$M$11,IF(($B$4+A127)&gt;=$L$12,$M$12,INDEX($M$11:$M$12,MATCH(($B$4+A127),$L$11:$L$12,1))+(INDEX($M$11:$M$12,MATCH(($B$4+A127),$L$11:$L$12,1)+1)-INDEX($M$11:$M$12,MATCH(($B$4+A127),$L$11:$L$12,1)))*(($B$4+A127)-INDEX($L$11:$L$12,MATCH(($B$4+A127),$L$11:$L$12,1)))/(INDEX($L$11:$L$12,MATCH(($B$4+A127),$L$11:$L$12,1)+1)-INDEX($L$11:$L$12,MATCH(($B$4+A127),$L$11:$L$12,1)))))))/(1-(IF(($B$4+A127)&lt;=$I$11,$J$11,IF(($B$4+A127)&gt;=$I$33,$J$33,INDEX($J$11:$J$33,MATCH(($B$4+A127),$I$11:$I$33,1))+(INDEX($J$11:$J$33,MATCH(($B$4+A127),$I$11:$I$33,1)+1)-INDEX($J$11:$J$33,MATCH(($B$4+A127),$I$11:$I$33,1)))*(($B$4+A127)-INDEX($I$11:$I$33,MATCH(($B$4+A127),$I$11:$I$33,1)))/(INDEX($I$11:$I$33,MATCH(($B$4+A127),$I$11:$I$33,1)+1)-INDEX($I$11:$I$33,MATCH(($B$4+A127),$I$11:$I$33,1))))))),1)</f>
        <v>1</v>
      </c>
      <c r="D127" s="43" t="n">
        <f aca="false">B127*(1+$B$30)^(-A127)</f>
        <v>0.617729308686981</v>
      </c>
      <c r="E127" s="43" t="n">
        <f aca="false">B127*C127*(1+$B$5)^(-A127)</f>
        <v>1</v>
      </c>
      <c r="G127" s="32" t="n">
        <f aca="false">$B$31+0.125+67*0.25</f>
        <v>79.315</v>
      </c>
      <c r="H127" s="27" t="n">
        <f aca="false">IF(G127&lt;$B$33,1,0)</f>
        <v>1</v>
      </c>
      <c r="I127" s="43" t="n">
        <f aca="false">H127*(1-$B$6)^(G127-$B$31)*(1+$B$30)^(-G127)</f>
        <v>0.324614031152616</v>
      </c>
      <c r="J127" s="43" t="n">
        <f aca="false">H127*(1-$B$6)^(G127-$B$31)*L127*(1+$B$5)^(-G127)</f>
        <v>0.844002841633225</v>
      </c>
      <c r="L127" s="43" t="n">
        <f aca="false">IF($B$7="Oui",1-(IF(($B$4+G127)&lt;=$L$11,$M$11,IF(($B$4+G127)&gt;=$L$12,$M$12,INDEX($M$11:$M$12,MATCH(($B$4+G127),$L$11:$L$12,1))+(INDEX($M$11:$M$12,MATCH(($B$4+G127),$L$11:$L$12,1)+1)-INDEX($M$11:$M$12,MATCH(($B$4+G127),$L$11:$L$12,1)))*(($B$4+G127)-INDEX($L$11:$L$12,MATCH(($B$4+G127),$L$11:$L$12,1)))/(INDEX($L$11:$L$12,MATCH(($B$4+G127),$L$11:$L$12,1)+1)-INDEX($L$11:$L$12,MATCH(($B$4+G127),$L$11:$L$12,1)))))),1)</f>
        <v>1</v>
      </c>
    </row>
    <row r="128" customFormat="false" ht="15" hidden="false" customHeight="false" outlineLevel="0" collapsed="false">
      <c r="A128" s="32" t="n">
        <f aca="false">$B$32+0.125+68*0.25</f>
        <v>40.235</v>
      </c>
      <c r="B128" s="27" t="n">
        <f aca="false">IF(A128&lt;$B$31,1,0)</f>
        <v>1</v>
      </c>
      <c r="C128" s="43" t="n">
        <f aca="false">IF($B$7="Oui",1+((IF(($B$4+A128)&lt;=$I$11,$J$11,IF(($B$4+A128)&gt;=$I$33,$J$33,INDEX($J$11:$J$33,MATCH(($B$4+A128),$I$11:$I$33,1))+(INDEX($J$11:$J$33,MATCH(($B$4+A128),$I$11:$I$33,1)+1)-INDEX($J$11:$J$33,MATCH(($B$4+A128),$I$11:$I$33,1)))*(($B$4+A128)-INDEX($I$11:$I$33,MATCH(($B$4+A128),$I$11:$I$33,1)))/(INDEX($I$11:$I$33,MATCH(($B$4+A128),$I$11:$I$33,1)+1)-INDEX($I$11:$I$33,MATCH(($B$4+A128),$I$11:$I$33,1))))))-(IF(($B$4+A128)&lt;=$L$11,$M$11,IF(($B$4+A128)&gt;=$L$12,$M$12,INDEX($M$11:$M$12,MATCH(($B$4+A128),$L$11:$L$12,1))+(INDEX($M$11:$M$12,MATCH(($B$4+A128),$L$11:$L$12,1)+1)-INDEX($M$11:$M$12,MATCH(($B$4+A128),$L$11:$L$12,1)))*(($B$4+A128)-INDEX($L$11:$L$12,MATCH(($B$4+A128),$L$11:$L$12,1)))/(INDEX($L$11:$L$12,MATCH(($B$4+A128),$L$11:$L$12,1)+1)-INDEX($L$11:$L$12,MATCH(($B$4+A128),$L$11:$L$12,1)))))))/(1-(IF(($B$4+A128)&lt;=$I$11,$J$11,IF(($B$4+A128)&gt;=$I$33,$J$33,INDEX($J$11:$J$33,MATCH(($B$4+A128),$I$11:$I$33,1))+(INDEX($J$11:$J$33,MATCH(($B$4+A128),$I$11:$I$33,1)+1)-INDEX($J$11:$J$33,MATCH(($B$4+A128),$I$11:$I$33,1)))*(($B$4+A128)-INDEX($I$11:$I$33,MATCH(($B$4+A128),$I$11:$I$33,1)))/(INDEX($I$11:$I$33,MATCH(($B$4+A128),$I$11:$I$33,1)+1)-INDEX($I$11:$I$33,MATCH(($B$4+A128),$I$11:$I$33,1))))))),1)</f>
        <v>1</v>
      </c>
      <c r="D128" s="43" t="n">
        <f aca="false">B128*(1+$B$30)^(-A128)</f>
        <v>0.615871639534856</v>
      </c>
      <c r="E128" s="43" t="n">
        <f aca="false">B128*C128*(1+$B$5)^(-A128)</f>
        <v>1</v>
      </c>
      <c r="G128" s="32" t="n">
        <f aca="false">$B$31+0.125+68*0.25</f>
        <v>79.565</v>
      </c>
      <c r="H128" s="27" t="n">
        <f aca="false">IF(G128&lt;$B$33,1,0)</f>
        <v>1</v>
      </c>
      <c r="I128" s="43" t="n">
        <f aca="false">H128*(1-$B$6)^(G128-$B$31)*(1+$B$30)^(-G128)</f>
        <v>0.322825687682871</v>
      </c>
      <c r="J128" s="43" t="n">
        <f aca="false">H128*(1-$B$6)^(G128-$B$31)*L128*(1+$B$5)^(-G128)</f>
        <v>0.841884875526372</v>
      </c>
      <c r="L128" s="43" t="n">
        <f aca="false">IF($B$7="Oui",1-(IF(($B$4+G128)&lt;=$L$11,$M$11,IF(($B$4+G128)&gt;=$L$12,$M$12,INDEX($M$11:$M$12,MATCH(($B$4+G128),$L$11:$L$12,1))+(INDEX($M$11:$M$12,MATCH(($B$4+G128),$L$11:$L$12,1)+1)-INDEX($M$11:$M$12,MATCH(($B$4+G128),$L$11:$L$12,1)))*(($B$4+G128)-INDEX($L$11:$L$12,MATCH(($B$4+G128),$L$11:$L$12,1)))/(INDEX($L$11:$L$12,MATCH(($B$4+G128),$L$11:$L$12,1)+1)-INDEX($L$11:$L$12,MATCH(($B$4+G128),$L$11:$L$12,1)))))),1)</f>
        <v>1</v>
      </c>
    </row>
    <row r="129" customFormat="false" ht="15" hidden="false" customHeight="false" outlineLevel="0" collapsed="false">
      <c r="A129" s="32" t="n">
        <f aca="false">$B$32+0.125+69*0.25</f>
        <v>40.485</v>
      </c>
      <c r="B129" s="27" t="n">
        <f aca="false">IF(A129&lt;$B$31,1,0)</f>
        <v>1</v>
      </c>
      <c r="C129" s="43" t="n">
        <f aca="false">IF($B$7="Oui",1+((IF(($B$4+A129)&lt;=$I$11,$J$11,IF(($B$4+A129)&gt;=$I$33,$J$33,INDEX($J$11:$J$33,MATCH(($B$4+A129),$I$11:$I$33,1))+(INDEX($J$11:$J$33,MATCH(($B$4+A129),$I$11:$I$33,1)+1)-INDEX($J$11:$J$33,MATCH(($B$4+A129),$I$11:$I$33,1)))*(($B$4+A129)-INDEX($I$11:$I$33,MATCH(($B$4+A129),$I$11:$I$33,1)))/(INDEX($I$11:$I$33,MATCH(($B$4+A129),$I$11:$I$33,1)+1)-INDEX($I$11:$I$33,MATCH(($B$4+A129),$I$11:$I$33,1))))))-(IF(($B$4+A129)&lt;=$L$11,$M$11,IF(($B$4+A129)&gt;=$L$12,$M$12,INDEX($M$11:$M$12,MATCH(($B$4+A129),$L$11:$L$12,1))+(INDEX($M$11:$M$12,MATCH(($B$4+A129),$L$11:$L$12,1)+1)-INDEX($M$11:$M$12,MATCH(($B$4+A129),$L$11:$L$12,1)))*(($B$4+A129)-INDEX($L$11:$L$12,MATCH(($B$4+A129),$L$11:$L$12,1)))/(INDEX($L$11:$L$12,MATCH(($B$4+A129),$L$11:$L$12,1)+1)-INDEX($L$11:$L$12,MATCH(($B$4+A129),$L$11:$L$12,1)))))))/(1-(IF(($B$4+A129)&lt;=$I$11,$J$11,IF(($B$4+A129)&gt;=$I$33,$J$33,INDEX($J$11:$J$33,MATCH(($B$4+A129),$I$11:$I$33,1))+(INDEX($J$11:$J$33,MATCH(($B$4+A129),$I$11:$I$33,1)+1)-INDEX($J$11:$J$33,MATCH(($B$4+A129),$I$11:$I$33,1)))*(($B$4+A129)-INDEX($I$11:$I$33,MATCH(($B$4+A129),$I$11:$I$33,1)))/(INDEX($I$11:$I$33,MATCH(($B$4+A129),$I$11:$I$33,1)+1)-INDEX($I$11:$I$33,MATCH(($B$4+A129),$I$11:$I$33,1))))))),1)</f>
        <v>1</v>
      </c>
      <c r="D129" s="43" t="n">
        <f aca="false">B129*(1+$B$30)^(-A129)</f>
        <v>0.614019556866373</v>
      </c>
      <c r="E129" s="43" t="n">
        <f aca="false">B129*C129*(1+$B$5)^(-A129)</f>
        <v>1</v>
      </c>
      <c r="G129" s="32" t="n">
        <f aca="false">$B$31+0.125+69*0.25</f>
        <v>79.815</v>
      </c>
      <c r="H129" s="27" t="n">
        <f aca="false">IF(G129&lt;$B$33,1,0)</f>
        <v>1</v>
      </c>
      <c r="I129" s="43" t="n">
        <f aca="false">H129*(1-$B$6)^(G129-$B$31)*(1+$B$30)^(-G129)</f>
        <v>0.321047196443956</v>
      </c>
      <c r="J129" s="43" t="n">
        <f aca="false">H129*(1-$B$6)^(G129-$B$31)*L129*(1+$B$5)^(-G129)</f>
        <v>0.839772224307347</v>
      </c>
      <c r="L129" s="43" t="n">
        <f aca="false">IF($B$7="Oui",1-(IF(($B$4+G129)&lt;=$L$11,$M$11,IF(($B$4+G129)&gt;=$L$12,$M$12,INDEX($M$11:$M$12,MATCH(($B$4+G129),$L$11:$L$12,1))+(INDEX($M$11:$M$12,MATCH(($B$4+G129),$L$11:$L$12,1)+1)-INDEX($M$11:$M$12,MATCH(($B$4+G129),$L$11:$L$12,1)))*(($B$4+G129)-INDEX($L$11:$L$12,MATCH(($B$4+G129),$L$11:$L$12,1)))/(INDEX($L$11:$L$12,MATCH(($B$4+G129),$L$11:$L$12,1)+1)-INDEX($L$11:$L$12,MATCH(($B$4+G129),$L$11:$L$12,1)))))),1)</f>
        <v>1</v>
      </c>
    </row>
    <row r="130" customFormat="false" ht="15" hidden="false" customHeight="false" outlineLevel="0" collapsed="false">
      <c r="A130" s="32" t="n">
        <f aca="false">$B$32+0.125+70*0.25</f>
        <v>40.735</v>
      </c>
      <c r="B130" s="27" t="n">
        <f aca="false">IF(A130&lt;$B$31,1,0)</f>
        <v>1</v>
      </c>
      <c r="C130" s="43" t="n">
        <f aca="false">IF($B$7="Oui",1+((IF(($B$4+A130)&lt;=$I$11,$J$11,IF(($B$4+A130)&gt;=$I$33,$J$33,INDEX($J$11:$J$33,MATCH(($B$4+A130),$I$11:$I$33,1))+(INDEX($J$11:$J$33,MATCH(($B$4+A130),$I$11:$I$33,1)+1)-INDEX($J$11:$J$33,MATCH(($B$4+A130),$I$11:$I$33,1)))*(($B$4+A130)-INDEX($I$11:$I$33,MATCH(($B$4+A130),$I$11:$I$33,1)))/(INDEX($I$11:$I$33,MATCH(($B$4+A130),$I$11:$I$33,1)+1)-INDEX($I$11:$I$33,MATCH(($B$4+A130),$I$11:$I$33,1))))))-(IF(($B$4+A130)&lt;=$L$11,$M$11,IF(($B$4+A130)&gt;=$L$12,$M$12,INDEX($M$11:$M$12,MATCH(($B$4+A130),$L$11:$L$12,1))+(INDEX($M$11:$M$12,MATCH(($B$4+A130),$L$11:$L$12,1)+1)-INDEX($M$11:$M$12,MATCH(($B$4+A130),$L$11:$L$12,1)))*(($B$4+A130)-INDEX($L$11:$L$12,MATCH(($B$4+A130),$L$11:$L$12,1)))/(INDEX($L$11:$L$12,MATCH(($B$4+A130),$L$11:$L$12,1)+1)-INDEX($L$11:$L$12,MATCH(($B$4+A130),$L$11:$L$12,1)))))))/(1-(IF(($B$4+A130)&lt;=$I$11,$J$11,IF(($B$4+A130)&gt;=$I$33,$J$33,INDEX($J$11:$J$33,MATCH(($B$4+A130),$I$11:$I$33,1))+(INDEX($J$11:$J$33,MATCH(($B$4+A130),$I$11:$I$33,1)+1)-INDEX($J$11:$J$33,MATCH(($B$4+A130),$I$11:$I$33,1)))*(($B$4+A130)-INDEX($I$11:$I$33,MATCH(($B$4+A130),$I$11:$I$33,1)))/(INDEX($I$11:$I$33,MATCH(($B$4+A130),$I$11:$I$33,1)+1)-INDEX($I$11:$I$33,MATCH(($B$4+A130),$I$11:$I$33,1))))))),1)</f>
        <v>1</v>
      </c>
      <c r="D130" s="43" t="n">
        <f aca="false">B130*(1+$B$30)^(-A130)</f>
        <v>0.612173043881556</v>
      </c>
      <c r="E130" s="43" t="n">
        <f aca="false">B130*C130*(1+$B$5)^(-A130)</f>
        <v>1</v>
      </c>
      <c r="G130" s="32" t="n">
        <f aca="false">$B$31+0.125+70*0.25</f>
        <v>80.065</v>
      </c>
      <c r="H130" s="27" t="n">
        <f aca="false">IF(G130&lt;$B$33,1,0)</f>
        <v>1</v>
      </c>
      <c r="I130" s="43" t="n">
        <f aca="false">H130*(1-$B$6)^(G130-$B$31)*(1+$B$30)^(-G130)</f>
        <v>0.319278503158574</v>
      </c>
      <c r="J130" s="43" t="n">
        <f aca="false">H130*(1-$B$6)^(G130-$B$31)*L130*(1+$B$5)^(-G130)</f>
        <v>0.837664874638811</v>
      </c>
      <c r="L130" s="43" t="n">
        <f aca="false">IF($B$7="Oui",1-(IF(($B$4+G130)&lt;=$L$11,$M$11,IF(($B$4+G130)&gt;=$L$12,$M$12,INDEX($M$11:$M$12,MATCH(($B$4+G130),$L$11:$L$12,1))+(INDEX($M$11:$M$12,MATCH(($B$4+G130),$L$11:$L$12,1)+1)-INDEX($M$11:$M$12,MATCH(($B$4+G130),$L$11:$L$12,1)))*(($B$4+G130)-INDEX($L$11:$L$12,MATCH(($B$4+G130),$L$11:$L$12,1)))/(INDEX($L$11:$L$12,MATCH(($B$4+G130),$L$11:$L$12,1)+1)-INDEX($L$11:$L$12,MATCH(($B$4+G130),$L$11:$L$12,1)))))),1)</f>
        <v>1</v>
      </c>
    </row>
    <row r="131" customFormat="false" ht="15" hidden="false" customHeight="false" outlineLevel="0" collapsed="false">
      <c r="A131" s="32" t="n">
        <f aca="false">$B$32+0.125+71*0.25</f>
        <v>40.985</v>
      </c>
      <c r="B131" s="27" t="n">
        <f aca="false">IF(A131&lt;$B$31,1,0)</f>
        <v>1</v>
      </c>
      <c r="C131" s="43" t="n">
        <f aca="false">IF($B$7="Oui",1+((IF(($B$4+A131)&lt;=$I$11,$J$11,IF(($B$4+A131)&gt;=$I$33,$J$33,INDEX($J$11:$J$33,MATCH(($B$4+A131),$I$11:$I$33,1))+(INDEX($J$11:$J$33,MATCH(($B$4+A131),$I$11:$I$33,1)+1)-INDEX($J$11:$J$33,MATCH(($B$4+A131),$I$11:$I$33,1)))*(($B$4+A131)-INDEX($I$11:$I$33,MATCH(($B$4+A131),$I$11:$I$33,1)))/(INDEX($I$11:$I$33,MATCH(($B$4+A131),$I$11:$I$33,1)+1)-INDEX($I$11:$I$33,MATCH(($B$4+A131),$I$11:$I$33,1))))))-(IF(($B$4+A131)&lt;=$L$11,$M$11,IF(($B$4+A131)&gt;=$L$12,$M$12,INDEX($M$11:$M$12,MATCH(($B$4+A131),$L$11:$L$12,1))+(INDEX($M$11:$M$12,MATCH(($B$4+A131),$L$11:$L$12,1)+1)-INDEX($M$11:$M$12,MATCH(($B$4+A131),$L$11:$L$12,1)))*(($B$4+A131)-INDEX($L$11:$L$12,MATCH(($B$4+A131),$L$11:$L$12,1)))/(INDEX($L$11:$L$12,MATCH(($B$4+A131),$L$11:$L$12,1)+1)-INDEX($L$11:$L$12,MATCH(($B$4+A131),$L$11:$L$12,1)))))))/(1-(IF(($B$4+A131)&lt;=$I$11,$J$11,IF(($B$4+A131)&gt;=$I$33,$J$33,INDEX($J$11:$J$33,MATCH(($B$4+A131),$I$11:$I$33,1))+(INDEX($J$11:$J$33,MATCH(($B$4+A131),$I$11:$I$33,1)+1)-INDEX($J$11:$J$33,MATCH(($B$4+A131),$I$11:$I$33,1)))*(($B$4+A131)-INDEX($I$11:$I$33,MATCH(($B$4+A131),$I$11:$I$33,1)))/(INDEX($I$11:$I$33,MATCH(($B$4+A131),$I$11:$I$33,1)+1)-INDEX($I$11:$I$33,MATCH(($B$4+A131),$I$11:$I$33,1))))))),1)</f>
        <v>1</v>
      </c>
      <c r="D131" s="43" t="n">
        <f aca="false">B131*(1+$B$30)^(-A131)</f>
        <v>0.61033208383095</v>
      </c>
      <c r="E131" s="43" t="n">
        <f aca="false">B131*C131*(1+$B$5)^(-A131)</f>
        <v>1</v>
      </c>
      <c r="G131" s="32" t="n">
        <f aca="false">$B$31+0.125+71*0.25</f>
        <v>80.315</v>
      </c>
      <c r="H131" s="27" t="n">
        <f aca="false">IF(G131&lt;$B$33,1,0)</f>
        <v>1</v>
      </c>
      <c r="I131" s="43" t="n">
        <f aca="false">H131*(1-$B$6)^(G131-$B$31)*(1+$B$30)^(-G131)</f>
        <v>0.317519553848446</v>
      </c>
      <c r="J131" s="43" t="n">
        <f aca="false">H131*(1-$B$6)^(G131-$B$31)*L131*(1+$B$5)^(-G131)</f>
        <v>0.835562813216893</v>
      </c>
      <c r="L131" s="43" t="n">
        <f aca="false">IF($B$7="Oui",1-(IF(($B$4+G131)&lt;=$L$11,$M$11,IF(($B$4+G131)&gt;=$L$12,$M$12,INDEX($M$11:$M$12,MATCH(($B$4+G131),$L$11:$L$12,1))+(INDEX($M$11:$M$12,MATCH(($B$4+G131),$L$11:$L$12,1)+1)-INDEX($M$11:$M$12,MATCH(($B$4+G131),$L$11:$L$12,1)))*(($B$4+G131)-INDEX($L$11:$L$12,MATCH(($B$4+G131),$L$11:$L$12,1)))/(INDEX($L$11:$L$12,MATCH(($B$4+G131),$L$11:$L$12,1)+1)-INDEX($L$11:$L$12,MATCH(($B$4+G131),$L$11:$L$12,1)))))),1)</f>
        <v>1</v>
      </c>
    </row>
    <row r="132" customFormat="false" ht="15" hidden="false" customHeight="false" outlineLevel="0" collapsed="false">
      <c r="A132" s="32" t="n">
        <f aca="false">$B$32+0.125+72*0.25</f>
        <v>41.235</v>
      </c>
      <c r="B132" s="27" t="n">
        <f aca="false">IF(A132&lt;$B$31,1,0)</f>
        <v>1</v>
      </c>
      <c r="C132" s="43" t="n">
        <f aca="false">IF($B$7="Oui",1+((IF(($B$4+A132)&lt;=$I$11,$J$11,IF(($B$4+A132)&gt;=$I$33,$J$33,INDEX($J$11:$J$33,MATCH(($B$4+A132),$I$11:$I$33,1))+(INDEX($J$11:$J$33,MATCH(($B$4+A132),$I$11:$I$33,1)+1)-INDEX($J$11:$J$33,MATCH(($B$4+A132),$I$11:$I$33,1)))*(($B$4+A132)-INDEX($I$11:$I$33,MATCH(($B$4+A132),$I$11:$I$33,1)))/(INDEX($I$11:$I$33,MATCH(($B$4+A132),$I$11:$I$33,1)+1)-INDEX($I$11:$I$33,MATCH(($B$4+A132),$I$11:$I$33,1))))))-(IF(($B$4+A132)&lt;=$L$11,$M$11,IF(($B$4+A132)&gt;=$L$12,$M$12,INDEX($M$11:$M$12,MATCH(($B$4+A132),$L$11:$L$12,1))+(INDEX($M$11:$M$12,MATCH(($B$4+A132),$L$11:$L$12,1)+1)-INDEX($M$11:$M$12,MATCH(($B$4+A132),$L$11:$L$12,1)))*(($B$4+A132)-INDEX($L$11:$L$12,MATCH(($B$4+A132),$L$11:$L$12,1)))/(INDEX($L$11:$L$12,MATCH(($B$4+A132),$L$11:$L$12,1)+1)-INDEX($L$11:$L$12,MATCH(($B$4+A132),$L$11:$L$12,1)))))))/(1-(IF(($B$4+A132)&lt;=$I$11,$J$11,IF(($B$4+A132)&gt;=$I$33,$J$33,INDEX($J$11:$J$33,MATCH(($B$4+A132),$I$11:$I$33,1))+(INDEX($J$11:$J$33,MATCH(($B$4+A132),$I$11:$I$33,1)+1)-INDEX($J$11:$J$33,MATCH(($B$4+A132),$I$11:$I$33,1)))*(($B$4+A132)-INDEX($I$11:$I$33,MATCH(($B$4+A132),$I$11:$I$33,1)))/(INDEX($I$11:$I$33,MATCH(($B$4+A132),$I$11:$I$33,1)+1)-INDEX($I$11:$I$33,MATCH(($B$4+A132),$I$11:$I$33,1))))))),1)</f>
        <v>1</v>
      </c>
      <c r="D132" s="43" t="n">
        <f aca="false">B132*(1+$B$30)^(-A132)</f>
        <v>0.608496660015468</v>
      </c>
      <c r="E132" s="43" t="n">
        <f aca="false">B132*C132*(1+$B$5)^(-A132)</f>
        <v>1</v>
      </c>
      <c r="G132" s="32" t="n">
        <f aca="false">$B$31+0.125+72*0.25</f>
        <v>80.565</v>
      </c>
      <c r="H132" s="27" t="n">
        <f aca="false">IF(G132&lt;$B$33,1,0)</f>
        <v>1</v>
      </c>
      <c r="I132" s="43" t="n">
        <f aca="false">H132*(1-$B$6)^(G132-$B$31)*(1+$B$30)^(-G132)</f>
        <v>0.31577029483267</v>
      </c>
      <c r="J132" s="43" t="n">
        <f aca="false">H132*(1-$B$6)^(G132-$B$31)*L132*(1+$B$5)^(-G132)</f>
        <v>0.833466026771108</v>
      </c>
      <c r="L132" s="43" t="n">
        <f aca="false">IF($B$7="Oui",1-(IF(($B$4+G132)&lt;=$L$11,$M$11,IF(($B$4+G132)&gt;=$L$12,$M$12,INDEX($M$11:$M$12,MATCH(($B$4+G132),$L$11:$L$12,1))+(INDEX($M$11:$M$12,MATCH(($B$4+G132),$L$11:$L$12,1)+1)-INDEX($M$11:$M$12,MATCH(($B$4+G132),$L$11:$L$12,1)))*(($B$4+G132)-INDEX($L$11:$L$12,MATCH(($B$4+G132),$L$11:$L$12,1)))/(INDEX($L$11:$L$12,MATCH(($B$4+G132),$L$11:$L$12,1)+1)-INDEX($L$11:$L$12,MATCH(($B$4+G132),$L$11:$L$12,1)))))),1)</f>
        <v>1</v>
      </c>
    </row>
    <row r="133" customFormat="false" ht="15" hidden="false" customHeight="false" outlineLevel="0" collapsed="false">
      <c r="A133" s="32" t="n">
        <f aca="false">$B$32+0.125+73*0.25</f>
        <v>41.485</v>
      </c>
      <c r="B133" s="27" t="n">
        <f aca="false">IF(A133&lt;$B$31,1,0)</f>
        <v>1</v>
      </c>
      <c r="C133" s="43" t="n">
        <f aca="false">IF($B$7="Oui",1+((IF(($B$4+A133)&lt;=$I$11,$J$11,IF(($B$4+A133)&gt;=$I$33,$J$33,INDEX($J$11:$J$33,MATCH(($B$4+A133),$I$11:$I$33,1))+(INDEX($J$11:$J$33,MATCH(($B$4+A133),$I$11:$I$33,1)+1)-INDEX($J$11:$J$33,MATCH(($B$4+A133),$I$11:$I$33,1)))*(($B$4+A133)-INDEX($I$11:$I$33,MATCH(($B$4+A133),$I$11:$I$33,1)))/(INDEX($I$11:$I$33,MATCH(($B$4+A133),$I$11:$I$33,1)+1)-INDEX($I$11:$I$33,MATCH(($B$4+A133),$I$11:$I$33,1))))))-(IF(($B$4+A133)&lt;=$L$11,$M$11,IF(($B$4+A133)&gt;=$L$12,$M$12,INDEX($M$11:$M$12,MATCH(($B$4+A133),$L$11:$L$12,1))+(INDEX($M$11:$M$12,MATCH(($B$4+A133),$L$11:$L$12,1)+1)-INDEX($M$11:$M$12,MATCH(($B$4+A133),$L$11:$L$12,1)))*(($B$4+A133)-INDEX($L$11:$L$12,MATCH(($B$4+A133),$L$11:$L$12,1)))/(INDEX($L$11:$L$12,MATCH(($B$4+A133),$L$11:$L$12,1)+1)-INDEX($L$11:$L$12,MATCH(($B$4+A133),$L$11:$L$12,1)))))))/(1-(IF(($B$4+A133)&lt;=$I$11,$J$11,IF(($B$4+A133)&gt;=$I$33,$J$33,INDEX($J$11:$J$33,MATCH(($B$4+A133),$I$11:$I$33,1))+(INDEX($J$11:$J$33,MATCH(($B$4+A133),$I$11:$I$33,1)+1)-INDEX($J$11:$J$33,MATCH(($B$4+A133),$I$11:$I$33,1)))*(($B$4+A133)-INDEX($I$11:$I$33,MATCH(($B$4+A133),$I$11:$I$33,1)))/(INDEX($I$11:$I$33,MATCH(($B$4+A133),$I$11:$I$33,1)+1)-INDEX($I$11:$I$33,MATCH(($B$4+A133),$I$11:$I$33,1))))))),1)</f>
        <v>1</v>
      </c>
      <c r="D133" s="43" t="n">
        <f aca="false">B133*(1+$B$30)^(-A133)</f>
        <v>0.606666755786244</v>
      </c>
      <c r="E133" s="43" t="n">
        <f aca="false">B133*C133*(1+$B$5)^(-A133)</f>
        <v>1</v>
      </c>
      <c r="G133" s="32" t="n">
        <f aca="false">$B$31+0.125+73*0.25</f>
        <v>80.815</v>
      </c>
      <c r="H133" s="27" t="n">
        <f aca="false">IF(G133&lt;$B$33,1,0)</f>
        <v>1</v>
      </c>
      <c r="I133" s="43" t="n">
        <f aca="false">H133*(1-$B$6)^(G133-$B$31)*(1+$B$30)^(-G133)</f>
        <v>0.314030672726077</v>
      </c>
      <c r="J133" s="43" t="n">
        <f aca="false">H133*(1-$B$6)^(G133-$B$31)*L133*(1+$B$5)^(-G133)</f>
        <v>0.831374502064274</v>
      </c>
      <c r="L133" s="43" t="n">
        <f aca="false">IF($B$7="Oui",1-(IF(($B$4+G133)&lt;=$L$11,$M$11,IF(($B$4+G133)&gt;=$L$12,$M$12,INDEX($M$11:$M$12,MATCH(($B$4+G133),$L$11:$L$12,1))+(INDEX($M$11:$M$12,MATCH(($B$4+G133),$L$11:$L$12,1)+1)-INDEX($M$11:$M$12,MATCH(($B$4+G133),$L$11:$L$12,1)))*(($B$4+G133)-INDEX($L$11:$L$12,MATCH(($B$4+G133),$L$11:$L$12,1)))/(INDEX($L$11:$L$12,MATCH(($B$4+G133),$L$11:$L$12,1)+1)-INDEX($L$11:$L$12,MATCH(($B$4+G133),$L$11:$L$12,1)))))),1)</f>
        <v>1</v>
      </c>
    </row>
    <row r="134" customFormat="false" ht="15" hidden="false" customHeight="false" outlineLevel="0" collapsed="false">
      <c r="A134" s="32" t="n">
        <f aca="false">$B$32+0.125+74*0.25</f>
        <v>41.735</v>
      </c>
      <c r="B134" s="27" t="n">
        <f aca="false">IF(A134&lt;$B$31,1,0)</f>
        <v>1</v>
      </c>
      <c r="C134" s="43" t="n">
        <f aca="false">IF($B$7="Oui",1+((IF(($B$4+A134)&lt;=$I$11,$J$11,IF(($B$4+A134)&gt;=$I$33,$J$33,INDEX($J$11:$J$33,MATCH(($B$4+A134),$I$11:$I$33,1))+(INDEX($J$11:$J$33,MATCH(($B$4+A134),$I$11:$I$33,1)+1)-INDEX($J$11:$J$33,MATCH(($B$4+A134),$I$11:$I$33,1)))*(($B$4+A134)-INDEX($I$11:$I$33,MATCH(($B$4+A134),$I$11:$I$33,1)))/(INDEX($I$11:$I$33,MATCH(($B$4+A134),$I$11:$I$33,1)+1)-INDEX($I$11:$I$33,MATCH(($B$4+A134),$I$11:$I$33,1))))))-(IF(($B$4+A134)&lt;=$L$11,$M$11,IF(($B$4+A134)&gt;=$L$12,$M$12,INDEX($M$11:$M$12,MATCH(($B$4+A134),$L$11:$L$12,1))+(INDEX($M$11:$M$12,MATCH(($B$4+A134),$L$11:$L$12,1)+1)-INDEX($M$11:$M$12,MATCH(($B$4+A134),$L$11:$L$12,1)))*(($B$4+A134)-INDEX($L$11:$L$12,MATCH(($B$4+A134),$L$11:$L$12,1)))/(INDEX($L$11:$L$12,MATCH(($B$4+A134),$L$11:$L$12,1)+1)-INDEX($L$11:$L$12,MATCH(($B$4+A134),$L$11:$L$12,1)))))))/(1-(IF(($B$4+A134)&lt;=$I$11,$J$11,IF(($B$4+A134)&gt;=$I$33,$J$33,INDEX($J$11:$J$33,MATCH(($B$4+A134),$I$11:$I$33,1))+(INDEX($J$11:$J$33,MATCH(($B$4+A134),$I$11:$I$33,1)+1)-INDEX($J$11:$J$33,MATCH(($B$4+A134),$I$11:$I$33,1)))*(($B$4+A134)-INDEX($I$11:$I$33,MATCH(($B$4+A134),$I$11:$I$33,1)))/(INDEX($I$11:$I$33,MATCH(($B$4+A134),$I$11:$I$33,1)+1)-INDEX($I$11:$I$33,MATCH(($B$4+A134),$I$11:$I$33,1))))))),1)</f>
        <v>1</v>
      </c>
      <c r="D134" s="43" t="n">
        <f aca="false">B134*(1+$B$30)^(-A134)</f>
        <v>0.604842354544477</v>
      </c>
      <c r="E134" s="43" t="n">
        <f aca="false">B134*C134*(1+$B$5)^(-A134)</f>
        <v>1</v>
      </c>
      <c r="G134" s="32" t="n">
        <f aca="false">$B$31+0.125+74*0.25</f>
        <v>81.065</v>
      </c>
      <c r="H134" s="27" t="n">
        <f aca="false">IF(G134&lt;$B$33,1,0)</f>
        <v>1</v>
      </c>
      <c r="I134" s="43" t="n">
        <f aca="false">H134*(1-$B$6)^(G134-$B$31)*(1+$B$30)^(-G134)</f>
        <v>0.312300634437604</v>
      </c>
      <c r="J134" s="43" t="n">
        <f aca="false">H134*(1-$B$6)^(G134-$B$31)*L134*(1+$B$5)^(-G134)</f>
        <v>0.829288225892423</v>
      </c>
      <c r="L134" s="43" t="n">
        <f aca="false">IF($B$7="Oui",1-(IF(($B$4+G134)&lt;=$L$11,$M$11,IF(($B$4+G134)&gt;=$L$12,$M$12,INDEX($M$11:$M$12,MATCH(($B$4+G134),$L$11:$L$12,1))+(INDEX($M$11:$M$12,MATCH(($B$4+G134),$L$11:$L$12,1)+1)-INDEX($M$11:$M$12,MATCH(($B$4+G134),$L$11:$L$12,1)))*(($B$4+G134)-INDEX($L$11:$L$12,MATCH(($B$4+G134),$L$11:$L$12,1)))/(INDEX($L$11:$L$12,MATCH(($B$4+G134),$L$11:$L$12,1)+1)-INDEX($L$11:$L$12,MATCH(($B$4+G134),$L$11:$L$12,1)))))),1)</f>
        <v>1</v>
      </c>
    </row>
    <row r="135" customFormat="false" ht="15" hidden="false" customHeight="false" outlineLevel="0" collapsed="false">
      <c r="A135" s="32" t="n">
        <f aca="false">$B$32+0.125+75*0.25</f>
        <v>41.985</v>
      </c>
      <c r="B135" s="27" t="n">
        <f aca="false">IF(A135&lt;$B$31,1,0)</f>
        <v>1</v>
      </c>
      <c r="C135" s="43" t="n">
        <f aca="false">IF($B$7="Oui",1+((IF(($B$4+A135)&lt;=$I$11,$J$11,IF(($B$4+A135)&gt;=$I$33,$J$33,INDEX($J$11:$J$33,MATCH(($B$4+A135),$I$11:$I$33,1))+(INDEX($J$11:$J$33,MATCH(($B$4+A135),$I$11:$I$33,1)+1)-INDEX($J$11:$J$33,MATCH(($B$4+A135),$I$11:$I$33,1)))*(($B$4+A135)-INDEX($I$11:$I$33,MATCH(($B$4+A135),$I$11:$I$33,1)))/(INDEX($I$11:$I$33,MATCH(($B$4+A135),$I$11:$I$33,1)+1)-INDEX($I$11:$I$33,MATCH(($B$4+A135),$I$11:$I$33,1))))))-(IF(($B$4+A135)&lt;=$L$11,$M$11,IF(($B$4+A135)&gt;=$L$12,$M$12,INDEX($M$11:$M$12,MATCH(($B$4+A135),$L$11:$L$12,1))+(INDEX($M$11:$M$12,MATCH(($B$4+A135),$L$11:$L$12,1)+1)-INDEX($M$11:$M$12,MATCH(($B$4+A135),$L$11:$L$12,1)))*(($B$4+A135)-INDEX($L$11:$L$12,MATCH(($B$4+A135),$L$11:$L$12,1)))/(INDEX($L$11:$L$12,MATCH(($B$4+A135),$L$11:$L$12,1)+1)-INDEX($L$11:$L$12,MATCH(($B$4+A135),$L$11:$L$12,1)))))))/(1-(IF(($B$4+A135)&lt;=$I$11,$J$11,IF(($B$4+A135)&gt;=$I$33,$J$33,INDEX($J$11:$J$33,MATCH(($B$4+A135),$I$11:$I$33,1))+(INDEX($J$11:$J$33,MATCH(($B$4+A135),$I$11:$I$33,1)+1)-INDEX($J$11:$J$33,MATCH(($B$4+A135),$I$11:$I$33,1)))*(($B$4+A135)-INDEX($I$11:$I$33,MATCH(($B$4+A135),$I$11:$I$33,1)))/(INDEX($I$11:$I$33,MATCH(($B$4+A135),$I$11:$I$33,1)+1)-INDEX($I$11:$I$33,MATCH(($B$4+A135),$I$11:$I$33,1))))))),1)</f>
        <v>1</v>
      </c>
      <c r="D135" s="43" t="n">
        <f aca="false">B135*(1+$B$30)^(-A135)</f>
        <v>0.603023439741286</v>
      </c>
      <c r="E135" s="43" t="n">
        <f aca="false">B135*C135*(1+$B$5)^(-A135)</f>
        <v>1</v>
      </c>
      <c r="G135" s="32" t="n">
        <f aca="false">$B$31+0.125+75*0.25</f>
        <v>81.315</v>
      </c>
      <c r="H135" s="27" t="n">
        <f aca="false">IF(G135&lt;$B$33,1,0)</f>
        <v>1</v>
      </c>
      <c r="I135" s="43" t="n">
        <f aca="false">H135*(1-$B$6)^(G135-$B$31)*(1+$B$30)^(-G135)</f>
        <v>0.310580127168678</v>
      </c>
      <c r="J135" s="43" t="n">
        <f aca="false">H135*(1-$B$6)^(G135-$B$31)*L135*(1+$B$5)^(-G135)</f>
        <v>0.827207185084724</v>
      </c>
      <c r="L135" s="43" t="n">
        <f aca="false">IF($B$7="Oui",1-(IF(($B$4+G135)&lt;=$L$11,$M$11,IF(($B$4+G135)&gt;=$L$12,$M$12,INDEX($M$11:$M$12,MATCH(($B$4+G135),$L$11:$L$12,1))+(INDEX($M$11:$M$12,MATCH(($B$4+G135),$L$11:$L$12,1)+1)-INDEX($M$11:$M$12,MATCH(($B$4+G135),$L$11:$L$12,1)))*(($B$4+G135)-INDEX($L$11:$L$12,MATCH(($B$4+G135),$L$11:$L$12,1)))/(INDEX($L$11:$L$12,MATCH(($B$4+G135),$L$11:$L$12,1)+1)-INDEX($L$11:$L$12,MATCH(($B$4+G135),$L$11:$L$12,1)))))),1)</f>
        <v>1</v>
      </c>
    </row>
    <row r="136" customFormat="false" ht="15" hidden="false" customHeight="false" outlineLevel="0" collapsed="false">
      <c r="A136" s="32" t="n">
        <f aca="false">$B$32+0.125+76*0.25</f>
        <v>42.235</v>
      </c>
      <c r="B136" s="27" t="n">
        <f aca="false">IF(A136&lt;$B$31,1,0)</f>
        <v>1</v>
      </c>
      <c r="C136" s="43" t="n">
        <f aca="false">IF($B$7="Oui",1+((IF(($B$4+A136)&lt;=$I$11,$J$11,IF(($B$4+A136)&gt;=$I$33,$J$33,INDEX($J$11:$J$33,MATCH(($B$4+A136),$I$11:$I$33,1))+(INDEX($J$11:$J$33,MATCH(($B$4+A136),$I$11:$I$33,1)+1)-INDEX($J$11:$J$33,MATCH(($B$4+A136),$I$11:$I$33,1)))*(($B$4+A136)-INDEX($I$11:$I$33,MATCH(($B$4+A136),$I$11:$I$33,1)))/(INDEX($I$11:$I$33,MATCH(($B$4+A136),$I$11:$I$33,1)+1)-INDEX($I$11:$I$33,MATCH(($B$4+A136),$I$11:$I$33,1))))))-(IF(($B$4+A136)&lt;=$L$11,$M$11,IF(($B$4+A136)&gt;=$L$12,$M$12,INDEX($M$11:$M$12,MATCH(($B$4+A136),$L$11:$L$12,1))+(INDEX($M$11:$M$12,MATCH(($B$4+A136),$L$11:$L$12,1)+1)-INDEX($M$11:$M$12,MATCH(($B$4+A136),$L$11:$L$12,1)))*(($B$4+A136)-INDEX($L$11:$L$12,MATCH(($B$4+A136),$L$11:$L$12,1)))/(INDEX($L$11:$L$12,MATCH(($B$4+A136),$L$11:$L$12,1)+1)-INDEX($L$11:$L$12,MATCH(($B$4+A136),$L$11:$L$12,1)))))))/(1-(IF(($B$4+A136)&lt;=$I$11,$J$11,IF(($B$4+A136)&gt;=$I$33,$J$33,INDEX($J$11:$J$33,MATCH(($B$4+A136),$I$11:$I$33,1))+(INDEX($J$11:$J$33,MATCH(($B$4+A136),$I$11:$I$33,1)+1)-INDEX($J$11:$J$33,MATCH(($B$4+A136),$I$11:$I$33,1)))*(($B$4+A136)-INDEX($I$11:$I$33,MATCH(($B$4+A136),$I$11:$I$33,1)))/(INDEX($I$11:$I$33,MATCH(($B$4+A136),$I$11:$I$33,1)+1)-INDEX($I$11:$I$33,MATCH(($B$4+A136),$I$11:$I$33,1))))))),1)</f>
        <v>1</v>
      </c>
      <c r="D136" s="43" t="n">
        <f aca="false">B136*(1+$B$30)^(-A136)</f>
        <v>0.601209994877552</v>
      </c>
      <c r="E136" s="43" t="n">
        <f aca="false">B136*C136*(1+$B$5)^(-A136)</f>
        <v>1</v>
      </c>
      <c r="G136" s="32" t="n">
        <f aca="false">$B$31+0.125+76*0.25</f>
        <v>81.565</v>
      </c>
      <c r="H136" s="27" t="n">
        <f aca="false">IF(G136&lt;$B$33,1,0)</f>
        <v>1</v>
      </c>
      <c r="I136" s="43" t="n">
        <f aca="false">H136*(1-$B$6)^(G136-$B$31)*(1+$B$30)^(-G136)</f>
        <v>0.308869098411595</v>
      </c>
      <c r="J136" s="43" t="n">
        <f aca="false">H136*(1-$B$6)^(G136-$B$31)*L136*(1+$B$5)^(-G136)</f>
        <v>0.825131366503397</v>
      </c>
      <c r="L136" s="43" t="n">
        <f aca="false">IF($B$7="Oui",1-(IF(($B$4+G136)&lt;=$L$11,$M$11,IF(($B$4+G136)&gt;=$L$12,$M$12,INDEX($M$11:$M$12,MATCH(($B$4+G136),$L$11:$L$12,1))+(INDEX($M$11:$M$12,MATCH(($B$4+G136),$L$11:$L$12,1)+1)-INDEX($M$11:$M$12,MATCH(($B$4+G136),$L$11:$L$12,1)))*(($B$4+G136)-INDEX($L$11:$L$12,MATCH(($B$4+G136),$L$11:$L$12,1)))/(INDEX($L$11:$L$12,MATCH(($B$4+G136),$L$11:$L$12,1)+1)-INDEX($L$11:$L$12,MATCH(($B$4+G136),$L$11:$L$12,1)))))),1)</f>
        <v>1</v>
      </c>
    </row>
    <row r="137" customFormat="false" ht="15" hidden="false" customHeight="false" outlineLevel="0" collapsed="false">
      <c r="A137" s="32" t="n">
        <f aca="false">$B$32+0.125+77*0.25</f>
        <v>42.485</v>
      </c>
      <c r="B137" s="27" t="n">
        <f aca="false">IF(A137&lt;$B$31,1,0)</f>
        <v>1</v>
      </c>
      <c r="C137" s="43" t="n">
        <f aca="false">IF($B$7="Oui",1+((IF(($B$4+A137)&lt;=$I$11,$J$11,IF(($B$4+A137)&gt;=$I$33,$J$33,INDEX($J$11:$J$33,MATCH(($B$4+A137),$I$11:$I$33,1))+(INDEX($J$11:$J$33,MATCH(($B$4+A137),$I$11:$I$33,1)+1)-INDEX($J$11:$J$33,MATCH(($B$4+A137),$I$11:$I$33,1)))*(($B$4+A137)-INDEX($I$11:$I$33,MATCH(($B$4+A137),$I$11:$I$33,1)))/(INDEX($I$11:$I$33,MATCH(($B$4+A137),$I$11:$I$33,1)+1)-INDEX($I$11:$I$33,MATCH(($B$4+A137),$I$11:$I$33,1))))))-(IF(($B$4+A137)&lt;=$L$11,$M$11,IF(($B$4+A137)&gt;=$L$12,$M$12,INDEX($M$11:$M$12,MATCH(($B$4+A137),$L$11:$L$12,1))+(INDEX($M$11:$M$12,MATCH(($B$4+A137),$L$11:$L$12,1)+1)-INDEX($M$11:$M$12,MATCH(($B$4+A137),$L$11:$L$12,1)))*(($B$4+A137)-INDEX($L$11:$L$12,MATCH(($B$4+A137),$L$11:$L$12,1)))/(INDEX($L$11:$L$12,MATCH(($B$4+A137),$L$11:$L$12,1)+1)-INDEX($L$11:$L$12,MATCH(($B$4+A137),$L$11:$L$12,1)))))))/(1-(IF(($B$4+A137)&lt;=$I$11,$J$11,IF(($B$4+A137)&gt;=$I$33,$J$33,INDEX($J$11:$J$33,MATCH(($B$4+A137),$I$11:$I$33,1))+(INDEX($J$11:$J$33,MATCH(($B$4+A137),$I$11:$I$33,1)+1)-INDEX($J$11:$J$33,MATCH(($B$4+A137),$I$11:$I$33,1)))*(($B$4+A137)-INDEX($I$11:$I$33,MATCH(($B$4+A137),$I$11:$I$33,1)))/(INDEX($I$11:$I$33,MATCH(($B$4+A137),$I$11:$I$33,1)+1)-INDEX($I$11:$I$33,MATCH(($B$4+A137),$I$11:$I$33,1))))))),1)</f>
        <v>1</v>
      </c>
      <c r="D137" s="43" t="n">
        <f aca="false">B137*(1+$B$30)^(-A137)</f>
        <v>0.599402003503778</v>
      </c>
      <c r="E137" s="43" t="n">
        <f aca="false">B137*C137*(1+$B$5)^(-A137)</f>
        <v>1</v>
      </c>
      <c r="G137" s="32" t="n">
        <f aca="false">$B$31+0.125+77*0.25</f>
        <v>81.815</v>
      </c>
      <c r="H137" s="27" t="n">
        <f aca="false">IF(G137&lt;$B$33,1,0)</f>
        <v>1</v>
      </c>
      <c r="I137" s="43" t="n">
        <f aca="false">H137*(1-$B$6)^(G137-$B$31)*(1+$B$30)^(-G137)</f>
        <v>0.307167495947927</v>
      </c>
      <c r="J137" s="43" t="n">
        <f aca="false">H137*(1-$B$6)^(G137-$B$31)*L137*(1+$B$5)^(-G137)</f>
        <v>0.823060757043631</v>
      </c>
      <c r="L137" s="43" t="n">
        <f aca="false">IF($B$7="Oui",1-(IF(($B$4+G137)&lt;=$L$11,$M$11,IF(($B$4+G137)&gt;=$L$12,$M$12,INDEX($M$11:$M$12,MATCH(($B$4+G137),$L$11:$L$12,1))+(INDEX($M$11:$M$12,MATCH(($B$4+G137),$L$11:$L$12,1)+1)-INDEX($M$11:$M$12,MATCH(($B$4+G137),$L$11:$L$12,1)))*(($B$4+G137)-INDEX($L$11:$L$12,MATCH(($B$4+G137),$L$11:$L$12,1)))/(INDEX($L$11:$L$12,MATCH(($B$4+G137),$L$11:$L$12,1)+1)-INDEX($L$11:$L$12,MATCH(($B$4+G137),$L$11:$L$12,1)))))),1)</f>
        <v>1</v>
      </c>
    </row>
    <row r="138" customFormat="false" ht="15" hidden="false" customHeight="false" outlineLevel="0" collapsed="false">
      <c r="A138" s="32" t="n">
        <f aca="false">$B$32+0.125+78*0.25</f>
        <v>42.735</v>
      </c>
      <c r="B138" s="27" t="n">
        <f aca="false">IF(A138&lt;$B$31,1,0)</f>
        <v>1</v>
      </c>
      <c r="C138" s="43" t="n">
        <f aca="false">IF($B$7="Oui",1+((IF(($B$4+A138)&lt;=$I$11,$J$11,IF(($B$4+A138)&gt;=$I$33,$J$33,INDEX($J$11:$J$33,MATCH(($B$4+A138),$I$11:$I$33,1))+(INDEX($J$11:$J$33,MATCH(($B$4+A138),$I$11:$I$33,1)+1)-INDEX($J$11:$J$33,MATCH(($B$4+A138),$I$11:$I$33,1)))*(($B$4+A138)-INDEX($I$11:$I$33,MATCH(($B$4+A138),$I$11:$I$33,1)))/(INDEX($I$11:$I$33,MATCH(($B$4+A138),$I$11:$I$33,1)+1)-INDEX($I$11:$I$33,MATCH(($B$4+A138),$I$11:$I$33,1))))))-(IF(($B$4+A138)&lt;=$L$11,$M$11,IF(($B$4+A138)&gt;=$L$12,$M$12,INDEX($M$11:$M$12,MATCH(($B$4+A138),$L$11:$L$12,1))+(INDEX($M$11:$M$12,MATCH(($B$4+A138),$L$11:$L$12,1)+1)-INDEX($M$11:$M$12,MATCH(($B$4+A138),$L$11:$L$12,1)))*(($B$4+A138)-INDEX($L$11:$L$12,MATCH(($B$4+A138),$L$11:$L$12,1)))/(INDEX($L$11:$L$12,MATCH(($B$4+A138),$L$11:$L$12,1)+1)-INDEX($L$11:$L$12,MATCH(($B$4+A138),$L$11:$L$12,1)))))))/(1-(IF(($B$4+A138)&lt;=$I$11,$J$11,IF(($B$4+A138)&gt;=$I$33,$J$33,INDEX($J$11:$J$33,MATCH(($B$4+A138),$I$11:$I$33,1))+(INDEX($J$11:$J$33,MATCH(($B$4+A138),$I$11:$I$33,1)+1)-INDEX($J$11:$J$33,MATCH(($B$4+A138),$I$11:$I$33,1)))*(($B$4+A138)-INDEX($I$11:$I$33,MATCH(($B$4+A138),$I$11:$I$33,1)))/(INDEX($I$11:$I$33,MATCH(($B$4+A138),$I$11:$I$33,1)+1)-INDEX($I$11:$I$33,MATCH(($B$4+A138),$I$11:$I$33,1))))))),1)</f>
        <v>1</v>
      </c>
      <c r="D138" s="43" t="n">
        <f aca="false">B138*(1+$B$30)^(-A138)</f>
        <v>0.597599449219932</v>
      </c>
      <c r="E138" s="43" t="n">
        <f aca="false">B138*C138*(1+$B$5)^(-A138)</f>
        <v>1</v>
      </c>
      <c r="G138" s="32" t="n">
        <f aca="false">$B$31+0.125+78*0.25</f>
        <v>82.065</v>
      </c>
      <c r="H138" s="27" t="n">
        <f aca="false">IF(G138&lt;$B$33,1,0)</f>
        <v>1</v>
      </c>
      <c r="I138" s="43" t="n">
        <f aca="false">H138*(1-$B$6)^(G138-$B$31)*(1+$B$30)^(-G138)</f>
        <v>0.305475267846924</v>
      </c>
      <c r="J138" s="43" t="n">
        <f aca="false">H138*(1-$B$6)^(G138-$B$31)*L138*(1+$B$5)^(-G138)</f>
        <v>0.820995343633499</v>
      </c>
      <c r="L138" s="43" t="n">
        <f aca="false">IF($B$7="Oui",1-(IF(($B$4+G138)&lt;=$L$11,$M$11,IF(($B$4+G138)&gt;=$L$12,$M$12,INDEX($M$11:$M$12,MATCH(($B$4+G138),$L$11:$L$12,1))+(INDEX($M$11:$M$12,MATCH(($B$4+G138),$L$11:$L$12,1)+1)-INDEX($M$11:$M$12,MATCH(($B$4+G138),$L$11:$L$12,1)))*(($B$4+G138)-INDEX($L$11:$L$12,MATCH(($B$4+G138),$L$11:$L$12,1)))/(INDEX($L$11:$L$12,MATCH(($B$4+G138),$L$11:$L$12,1)+1)-INDEX($L$11:$L$12,MATCH(($B$4+G138),$L$11:$L$12,1)))))),1)</f>
        <v>1</v>
      </c>
    </row>
    <row r="139" customFormat="false" ht="15" hidden="false" customHeight="false" outlineLevel="0" collapsed="false">
      <c r="A139" s="32" t="n">
        <f aca="false">$B$32+0.125+79*0.25</f>
        <v>42.985</v>
      </c>
      <c r="B139" s="27" t="n">
        <f aca="false">IF(A139&lt;$B$31,1,0)</f>
        <v>1</v>
      </c>
      <c r="C139" s="43" t="n">
        <f aca="false">IF($B$7="Oui",1+((IF(($B$4+A139)&lt;=$I$11,$J$11,IF(($B$4+A139)&gt;=$I$33,$J$33,INDEX($J$11:$J$33,MATCH(($B$4+A139),$I$11:$I$33,1))+(INDEX($J$11:$J$33,MATCH(($B$4+A139),$I$11:$I$33,1)+1)-INDEX($J$11:$J$33,MATCH(($B$4+A139),$I$11:$I$33,1)))*(($B$4+A139)-INDEX($I$11:$I$33,MATCH(($B$4+A139),$I$11:$I$33,1)))/(INDEX($I$11:$I$33,MATCH(($B$4+A139),$I$11:$I$33,1)+1)-INDEX($I$11:$I$33,MATCH(($B$4+A139),$I$11:$I$33,1))))))-(IF(($B$4+A139)&lt;=$L$11,$M$11,IF(($B$4+A139)&gt;=$L$12,$M$12,INDEX($M$11:$M$12,MATCH(($B$4+A139),$L$11:$L$12,1))+(INDEX($M$11:$M$12,MATCH(($B$4+A139),$L$11:$L$12,1)+1)-INDEX($M$11:$M$12,MATCH(($B$4+A139),$L$11:$L$12,1)))*(($B$4+A139)-INDEX($L$11:$L$12,MATCH(($B$4+A139),$L$11:$L$12,1)))/(INDEX($L$11:$L$12,MATCH(($B$4+A139),$L$11:$L$12,1)+1)-INDEX($L$11:$L$12,MATCH(($B$4+A139),$L$11:$L$12,1)))))))/(1-(IF(($B$4+A139)&lt;=$I$11,$J$11,IF(($B$4+A139)&gt;=$I$33,$J$33,INDEX($J$11:$J$33,MATCH(($B$4+A139),$I$11:$I$33,1))+(INDEX($J$11:$J$33,MATCH(($B$4+A139),$I$11:$I$33,1)+1)-INDEX($J$11:$J$33,MATCH(($B$4+A139),$I$11:$I$33,1)))*(($B$4+A139)-INDEX($I$11:$I$33,MATCH(($B$4+A139),$I$11:$I$33,1)))/(INDEX($I$11:$I$33,MATCH(($B$4+A139),$I$11:$I$33,1)+1)-INDEX($I$11:$I$33,MATCH(($B$4+A139),$I$11:$I$33,1))))))),1)</f>
        <v>1</v>
      </c>
      <c r="D139" s="43" t="n">
        <f aca="false">B139*(1+$B$30)^(-A139)</f>
        <v>0.595802315675301</v>
      </c>
      <c r="E139" s="43" t="n">
        <f aca="false">B139*C139*(1+$B$5)^(-A139)</f>
        <v>1</v>
      </c>
      <c r="G139" s="32" t="n">
        <f aca="false">$B$31+0.125+79*0.25</f>
        <v>82.315</v>
      </c>
      <c r="H139" s="27" t="n">
        <f aca="false">IF(G139&lt;$B$33,1,0)</f>
        <v>1</v>
      </c>
      <c r="I139" s="43" t="n">
        <f aca="false">H139*(1-$B$6)^(G139-$B$31)*(1+$B$30)^(-G139)</f>
        <v>0.303792362463928</v>
      </c>
      <c r="J139" s="43" t="n">
        <f aca="false">H139*(1-$B$6)^(G139-$B$31)*L139*(1+$B$5)^(-G139)</f>
        <v>0.818935113233877</v>
      </c>
      <c r="L139" s="43" t="n">
        <f aca="false">IF($B$7="Oui",1-(IF(($B$4+G139)&lt;=$L$11,$M$11,IF(($B$4+G139)&gt;=$L$12,$M$12,INDEX($M$11:$M$12,MATCH(($B$4+G139),$L$11:$L$12,1))+(INDEX($M$11:$M$12,MATCH(($B$4+G139),$L$11:$L$12,1)+1)-INDEX($M$11:$M$12,MATCH(($B$4+G139),$L$11:$L$12,1)))*(($B$4+G139)-INDEX($L$11:$L$12,MATCH(($B$4+G139),$L$11:$L$12,1)))/(INDEX($L$11:$L$12,MATCH(($B$4+G139),$L$11:$L$12,1)+1)-INDEX($L$11:$L$12,MATCH(($B$4+G139),$L$11:$L$12,1)))))),1)</f>
        <v>1</v>
      </c>
    </row>
    <row r="140" customFormat="false" ht="15" hidden="false" customHeight="false" outlineLevel="0" collapsed="false">
      <c r="A140" s="32" t="n">
        <f aca="false">$B$32+0.125+80*0.25</f>
        <v>43.235</v>
      </c>
      <c r="B140" s="27" t="n">
        <f aca="false">IF(A140&lt;$B$31,1,0)</f>
        <v>1</v>
      </c>
      <c r="C140" s="43" t="n">
        <f aca="false">IF($B$7="Oui",1+((IF(($B$4+A140)&lt;=$I$11,$J$11,IF(($B$4+A140)&gt;=$I$33,$J$33,INDEX($J$11:$J$33,MATCH(($B$4+A140),$I$11:$I$33,1))+(INDEX($J$11:$J$33,MATCH(($B$4+A140),$I$11:$I$33,1)+1)-INDEX($J$11:$J$33,MATCH(($B$4+A140),$I$11:$I$33,1)))*(($B$4+A140)-INDEX($I$11:$I$33,MATCH(($B$4+A140),$I$11:$I$33,1)))/(INDEX($I$11:$I$33,MATCH(($B$4+A140),$I$11:$I$33,1)+1)-INDEX($I$11:$I$33,MATCH(($B$4+A140),$I$11:$I$33,1))))))-(IF(($B$4+A140)&lt;=$L$11,$M$11,IF(($B$4+A140)&gt;=$L$12,$M$12,INDEX($M$11:$M$12,MATCH(($B$4+A140),$L$11:$L$12,1))+(INDEX($M$11:$M$12,MATCH(($B$4+A140),$L$11:$L$12,1)+1)-INDEX($M$11:$M$12,MATCH(($B$4+A140),$L$11:$L$12,1)))*(($B$4+A140)-INDEX($L$11:$L$12,MATCH(($B$4+A140),$L$11:$L$12,1)))/(INDEX($L$11:$L$12,MATCH(($B$4+A140),$L$11:$L$12,1)+1)-INDEX($L$11:$L$12,MATCH(($B$4+A140),$L$11:$L$12,1)))))))/(1-(IF(($B$4+A140)&lt;=$I$11,$J$11,IF(($B$4+A140)&gt;=$I$33,$J$33,INDEX($J$11:$J$33,MATCH(($B$4+A140),$I$11:$I$33,1))+(INDEX($J$11:$J$33,MATCH(($B$4+A140),$I$11:$I$33,1)+1)-INDEX($J$11:$J$33,MATCH(($B$4+A140),$I$11:$I$33,1)))*(($B$4+A140)-INDEX($I$11:$I$33,MATCH(($B$4+A140),$I$11:$I$33,1)))/(INDEX($I$11:$I$33,MATCH(($B$4+A140),$I$11:$I$33,1)+1)-INDEX($I$11:$I$33,MATCH(($B$4+A140),$I$11:$I$33,1))))))),1)</f>
        <v>1</v>
      </c>
      <c r="D140" s="43" t="n">
        <f aca="false">B140*(1+$B$30)^(-A140)</f>
        <v>0.594010586568344</v>
      </c>
      <c r="E140" s="43" t="n">
        <f aca="false">B140*C140*(1+$B$5)^(-A140)</f>
        <v>1</v>
      </c>
      <c r="G140" s="32" t="n">
        <f aca="false">$B$31+0.125+80*0.25</f>
        <v>82.565</v>
      </c>
      <c r="H140" s="27" t="n">
        <f aca="false">IF(G140&lt;$B$33,1,0)</f>
        <v>1</v>
      </c>
      <c r="I140" s="43" t="n">
        <f aca="false">H140*(1-$B$6)^(G140-$B$31)*(1+$B$30)^(-G140)</f>
        <v>0.302118728438801</v>
      </c>
      <c r="J140" s="43" t="n">
        <f aca="false">H140*(1-$B$6)^(G140-$B$31)*L140*(1+$B$5)^(-G140)</f>
        <v>0.816880052838363</v>
      </c>
      <c r="L140" s="43" t="n">
        <f aca="false">IF($B$7="Oui",1-(IF(($B$4+G140)&lt;=$L$11,$M$11,IF(($B$4+G140)&gt;=$L$12,$M$12,INDEX($M$11:$M$12,MATCH(($B$4+G140),$L$11:$L$12,1))+(INDEX($M$11:$M$12,MATCH(($B$4+G140),$L$11:$L$12,1)+1)-INDEX($M$11:$M$12,MATCH(($B$4+G140),$L$11:$L$12,1)))*(($B$4+G140)-INDEX($L$11:$L$12,MATCH(($B$4+G140),$L$11:$L$12,1)))/(INDEX($L$11:$L$12,MATCH(($B$4+G140),$L$11:$L$12,1)+1)-INDEX($L$11:$L$12,MATCH(($B$4+G140),$L$11:$L$12,1)))))),1)</f>
        <v>1</v>
      </c>
    </row>
    <row r="141" customFormat="false" ht="15" hidden="false" customHeight="false" outlineLevel="0" collapsed="false">
      <c r="A141" s="32" t="n">
        <f aca="false">$B$32+0.125+81*0.25</f>
        <v>43.485</v>
      </c>
      <c r="B141" s="27" t="n">
        <f aca="false">IF(A141&lt;$B$31,1,0)</f>
        <v>1</v>
      </c>
      <c r="C141" s="43" t="n">
        <f aca="false">IF($B$7="Oui",1+((IF(($B$4+A141)&lt;=$I$11,$J$11,IF(($B$4+A141)&gt;=$I$33,$J$33,INDEX($J$11:$J$33,MATCH(($B$4+A141),$I$11:$I$33,1))+(INDEX($J$11:$J$33,MATCH(($B$4+A141),$I$11:$I$33,1)+1)-INDEX($J$11:$J$33,MATCH(($B$4+A141),$I$11:$I$33,1)))*(($B$4+A141)-INDEX($I$11:$I$33,MATCH(($B$4+A141),$I$11:$I$33,1)))/(INDEX($I$11:$I$33,MATCH(($B$4+A141),$I$11:$I$33,1)+1)-INDEX($I$11:$I$33,MATCH(($B$4+A141),$I$11:$I$33,1))))))-(IF(($B$4+A141)&lt;=$L$11,$M$11,IF(($B$4+A141)&gt;=$L$12,$M$12,INDEX($M$11:$M$12,MATCH(($B$4+A141),$L$11:$L$12,1))+(INDEX($M$11:$M$12,MATCH(($B$4+A141),$L$11:$L$12,1)+1)-INDEX($M$11:$M$12,MATCH(($B$4+A141),$L$11:$L$12,1)))*(($B$4+A141)-INDEX($L$11:$L$12,MATCH(($B$4+A141),$L$11:$L$12,1)))/(INDEX($L$11:$L$12,MATCH(($B$4+A141),$L$11:$L$12,1)+1)-INDEX($L$11:$L$12,MATCH(($B$4+A141),$L$11:$L$12,1)))))))/(1-(IF(($B$4+A141)&lt;=$I$11,$J$11,IF(($B$4+A141)&gt;=$I$33,$J$33,INDEX($J$11:$J$33,MATCH(($B$4+A141),$I$11:$I$33,1))+(INDEX($J$11:$J$33,MATCH(($B$4+A141),$I$11:$I$33,1)+1)-INDEX($J$11:$J$33,MATCH(($B$4+A141),$I$11:$I$33,1)))*(($B$4+A141)-INDEX($I$11:$I$33,MATCH(($B$4+A141),$I$11:$I$33,1)))/(INDEX($I$11:$I$33,MATCH(($B$4+A141),$I$11:$I$33,1)+1)-INDEX($I$11:$I$33,MATCH(($B$4+A141),$I$11:$I$33,1))))))),1)</f>
        <v>1</v>
      </c>
      <c r="D141" s="43" t="n">
        <f aca="false">B141*(1+$B$30)^(-A141)</f>
        <v>0.592224245646542</v>
      </c>
      <c r="E141" s="43" t="n">
        <f aca="false">B141*C141*(1+$B$5)^(-A141)</f>
        <v>1</v>
      </c>
      <c r="G141" s="32" t="n">
        <f aca="false">$B$31+0.125+81*0.25</f>
        <v>82.815</v>
      </c>
      <c r="H141" s="27" t="n">
        <f aca="false">IF(G141&lt;$B$33,1,0)</f>
        <v>1</v>
      </c>
      <c r="I141" s="43" t="n">
        <f aca="false">H141*(1-$B$6)^(G141-$B$31)*(1+$B$30)^(-G141)</f>
        <v>0.300454314694352</v>
      </c>
      <c r="J141" s="43" t="n">
        <f aca="false">H141*(1-$B$6)^(G141-$B$31)*L141*(1+$B$5)^(-G141)</f>
        <v>0.814830149473195</v>
      </c>
      <c r="L141" s="43" t="n">
        <f aca="false">IF($B$7="Oui",1-(IF(($B$4+G141)&lt;=$L$11,$M$11,IF(($B$4+G141)&gt;=$L$12,$M$12,INDEX($M$11:$M$12,MATCH(($B$4+G141),$L$11:$L$12,1))+(INDEX($M$11:$M$12,MATCH(($B$4+G141),$L$11:$L$12,1)+1)-INDEX($M$11:$M$12,MATCH(($B$4+G141),$L$11:$L$12,1)))*(($B$4+G141)-INDEX($L$11:$L$12,MATCH(($B$4+G141),$L$11:$L$12,1)))/(INDEX($L$11:$L$12,MATCH(($B$4+G141),$L$11:$L$12,1)+1)-INDEX($L$11:$L$12,MATCH(($B$4+G141),$L$11:$L$12,1)))))),1)</f>
        <v>1</v>
      </c>
    </row>
    <row r="142" customFormat="false" ht="15" hidden="false" customHeight="false" outlineLevel="0" collapsed="false">
      <c r="A142" s="32" t="n">
        <f aca="false">$B$32+0.125+82*0.25</f>
        <v>43.735</v>
      </c>
      <c r="B142" s="27" t="n">
        <f aca="false">IF(A142&lt;$B$31,1,0)</f>
        <v>1</v>
      </c>
      <c r="C142" s="43" t="n">
        <f aca="false">IF($B$7="Oui",1+((IF(($B$4+A142)&lt;=$I$11,$J$11,IF(($B$4+A142)&gt;=$I$33,$J$33,INDEX($J$11:$J$33,MATCH(($B$4+A142),$I$11:$I$33,1))+(INDEX($J$11:$J$33,MATCH(($B$4+A142),$I$11:$I$33,1)+1)-INDEX($J$11:$J$33,MATCH(($B$4+A142),$I$11:$I$33,1)))*(($B$4+A142)-INDEX($I$11:$I$33,MATCH(($B$4+A142),$I$11:$I$33,1)))/(INDEX($I$11:$I$33,MATCH(($B$4+A142),$I$11:$I$33,1)+1)-INDEX($I$11:$I$33,MATCH(($B$4+A142),$I$11:$I$33,1))))))-(IF(($B$4+A142)&lt;=$L$11,$M$11,IF(($B$4+A142)&gt;=$L$12,$M$12,INDEX($M$11:$M$12,MATCH(($B$4+A142),$L$11:$L$12,1))+(INDEX($M$11:$M$12,MATCH(($B$4+A142),$L$11:$L$12,1)+1)-INDEX($M$11:$M$12,MATCH(($B$4+A142),$L$11:$L$12,1)))*(($B$4+A142)-INDEX($L$11:$L$12,MATCH(($B$4+A142),$L$11:$L$12,1)))/(INDEX($L$11:$L$12,MATCH(($B$4+A142),$L$11:$L$12,1)+1)-INDEX($L$11:$L$12,MATCH(($B$4+A142),$L$11:$L$12,1)))))))/(1-(IF(($B$4+A142)&lt;=$I$11,$J$11,IF(($B$4+A142)&gt;=$I$33,$J$33,INDEX($J$11:$J$33,MATCH(($B$4+A142),$I$11:$I$33,1))+(INDEX($J$11:$J$33,MATCH(($B$4+A142),$I$11:$I$33,1)+1)-INDEX($J$11:$J$33,MATCH(($B$4+A142),$I$11:$I$33,1)))*(($B$4+A142)-INDEX($I$11:$I$33,MATCH(($B$4+A142),$I$11:$I$33,1)))/(INDEX($I$11:$I$33,MATCH(($B$4+A142),$I$11:$I$33,1)+1)-INDEX($I$11:$I$33,MATCH(($B$4+A142),$I$11:$I$33,1))))))),1)</f>
        <v>1</v>
      </c>
      <c r="D142" s="43" t="n">
        <f aca="false">B142*(1+$B$30)^(-A142)</f>
        <v>0.590443276706252</v>
      </c>
      <c r="E142" s="43" t="n">
        <f aca="false">B142*C142*(1+$B$5)^(-A142)</f>
        <v>1</v>
      </c>
      <c r="G142" s="32" t="n">
        <f aca="false">$B$31+0.125+82*0.25</f>
        <v>83.065</v>
      </c>
      <c r="H142" s="27" t="n">
        <f aca="false">IF(G142&lt;$B$33,1,0)</f>
        <v>1</v>
      </c>
      <c r="I142" s="43" t="n">
        <f aca="false">H142*(1-$B$6)^(G142-$B$31)*(1+$B$30)^(-G142)</f>
        <v>0.298799070434785</v>
      </c>
      <c r="J142" s="43" t="n">
        <f aca="false">H142*(1-$B$6)^(G142-$B$31)*L142*(1+$B$5)^(-G142)</f>
        <v>0.812785390197163</v>
      </c>
      <c r="L142" s="43" t="n">
        <f aca="false">IF($B$7="Oui",1-(IF(($B$4+G142)&lt;=$L$11,$M$11,IF(($B$4+G142)&gt;=$L$12,$M$12,INDEX($M$11:$M$12,MATCH(($B$4+G142),$L$11:$L$12,1))+(INDEX($M$11:$M$12,MATCH(($B$4+G142),$L$11:$L$12,1)+1)-INDEX($M$11:$M$12,MATCH(($B$4+G142),$L$11:$L$12,1)))*(($B$4+G142)-INDEX($L$11:$L$12,MATCH(($B$4+G142),$L$11:$L$12,1)))/(INDEX($L$11:$L$12,MATCH(($B$4+G142),$L$11:$L$12,1)+1)-INDEX($L$11:$L$12,MATCH(($B$4+G142),$L$11:$L$12,1)))))),1)</f>
        <v>1</v>
      </c>
    </row>
    <row r="143" customFormat="false" ht="15" hidden="false" customHeight="false" outlineLevel="0" collapsed="false">
      <c r="A143" s="32" t="n">
        <f aca="false">$B$32+0.125+83*0.25</f>
        <v>43.985</v>
      </c>
      <c r="B143" s="27" t="n">
        <f aca="false">IF(A143&lt;$B$31,1,0)</f>
        <v>1</v>
      </c>
      <c r="C143" s="43" t="n">
        <f aca="false">IF($B$7="Oui",1+((IF(($B$4+A143)&lt;=$I$11,$J$11,IF(($B$4+A143)&gt;=$I$33,$J$33,INDEX($J$11:$J$33,MATCH(($B$4+A143),$I$11:$I$33,1))+(INDEX($J$11:$J$33,MATCH(($B$4+A143),$I$11:$I$33,1)+1)-INDEX($J$11:$J$33,MATCH(($B$4+A143),$I$11:$I$33,1)))*(($B$4+A143)-INDEX($I$11:$I$33,MATCH(($B$4+A143),$I$11:$I$33,1)))/(INDEX($I$11:$I$33,MATCH(($B$4+A143),$I$11:$I$33,1)+1)-INDEX($I$11:$I$33,MATCH(($B$4+A143),$I$11:$I$33,1))))))-(IF(($B$4+A143)&lt;=$L$11,$M$11,IF(($B$4+A143)&gt;=$L$12,$M$12,INDEX($M$11:$M$12,MATCH(($B$4+A143),$L$11:$L$12,1))+(INDEX($M$11:$M$12,MATCH(($B$4+A143),$L$11:$L$12,1)+1)-INDEX($M$11:$M$12,MATCH(($B$4+A143),$L$11:$L$12,1)))*(($B$4+A143)-INDEX($L$11:$L$12,MATCH(($B$4+A143),$L$11:$L$12,1)))/(INDEX($L$11:$L$12,MATCH(($B$4+A143),$L$11:$L$12,1)+1)-INDEX($L$11:$L$12,MATCH(($B$4+A143),$L$11:$L$12,1)))))))/(1-(IF(($B$4+A143)&lt;=$I$11,$J$11,IF(($B$4+A143)&gt;=$I$33,$J$33,INDEX($J$11:$J$33,MATCH(($B$4+A143),$I$11:$I$33,1))+(INDEX($J$11:$J$33,MATCH(($B$4+A143),$I$11:$I$33,1)+1)-INDEX($J$11:$J$33,MATCH(($B$4+A143),$I$11:$I$33,1)))*(($B$4+A143)-INDEX($I$11:$I$33,MATCH(($B$4+A143),$I$11:$I$33,1)))/(INDEX($I$11:$I$33,MATCH(($B$4+A143),$I$11:$I$33,1)+1)-INDEX($I$11:$I$33,MATCH(($B$4+A143),$I$11:$I$33,1))))))),1)</f>
        <v>1</v>
      </c>
      <c r="D143" s="43" t="n">
        <f aca="false">B143*(1+$B$30)^(-A143)</f>
        <v>0.588667663592559</v>
      </c>
      <c r="E143" s="43" t="n">
        <f aca="false">B143*C143*(1+$B$5)^(-A143)</f>
        <v>1</v>
      </c>
      <c r="G143" s="32" t="n">
        <f aca="false">$B$31+0.125+83*0.25</f>
        <v>83.315</v>
      </c>
      <c r="H143" s="27" t="n">
        <f aca="false">IF(G143&lt;$B$33,1,0)</f>
        <v>1</v>
      </c>
      <c r="I143" s="43" t="n">
        <f aca="false">H143*(1-$B$6)^(G143-$B$31)*(1+$B$30)^(-G143)</f>
        <v>0.297152945144142</v>
      </c>
      <c r="J143" s="43" t="n">
        <f aca="false">H143*(1-$B$6)^(G143-$B$31)*L143*(1+$B$5)^(-G143)</f>
        <v>0.810745762101538</v>
      </c>
      <c r="L143" s="43" t="n">
        <f aca="false">IF($B$7="Oui",1-(IF(($B$4+G143)&lt;=$L$11,$M$11,IF(($B$4+G143)&gt;=$L$12,$M$12,INDEX($M$11:$M$12,MATCH(($B$4+G143),$L$11:$L$12,1))+(INDEX($M$11:$M$12,MATCH(($B$4+G143),$L$11:$L$12,1)+1)-INDEX($M$11:$M$12,MATCH(($B$4+G143),$L$11:$L$12,1)))*(($B$4+G143)-INDEX($L$11:$L$12,MATCH(($B$4+G143),$L$11:$L$12,1)))/(INDEX($L$11:$L$12,MATCH(($B$4+G143),$L$11:$L$12,1)+1)-INDEX($L$11:$L$12,MATCH(($B$4+G143),$L$11:$L$12,1)))))),1)</f>
        <v>1</v>
      </c>
    </row>
    <row r="144" customFormat="false" ht="15" hidden="false" customHeight="false" outlineLevel="0" collapsed="false">
      <c r="A144" s="32" t="n">
        <f aca="false">$B$32+0.125+84*0.25</f>
        <v>44.235</v>
      </c>
      <c r="B144" s="27" t="n">
        <f aca="false">IF(A144&lt;$B$31,1,0)</f>
        <v>1</v>
      </c>
      <c r="C144" s="43" t="n">
        <f aca="false">IF($B$7="Oui",1+((IF(($B$4+A144)&lt;=$I$11,$J$11,IF(($B$4+A144)&gt;=$I$33,$J$33,INDEX($J$11:$J$33,MATCH(($B$4+A144),$I$11:$I$33,1))+(INDEX($J$11:$J$33,MATCH(($B$4+A144),$I$11:$I$33,1)+1)-INDEX($J$11:$J$33,MATCH(($B$4+A144),$I$11:$I$33,1)))*(($B$4+A144)-INDEX($I$11:$I$33,MATCH(($B$4+A144),$I$11:$I$33,1)))/(INDEX($I$11:$I$33,MATCH(($B$4+A144),$I$11:$I$33,1)+1)-INDEX($I$11:$I$33,MATCH(($B$4+A144),$I$11:$I$33,1))))))-(IF(($B$4+A144)&lt;=$L$11,$M$11,IF(($B$4+A144)&gt;=$L$12,$M$12,INDEX($M$11:$M$12,MATCH(($B$4+A144),$L$11:$L$12,1))+(INDEX($M$11:$M$12,MATCH(($B$4+A144),$L$11:$L$12,1)+1)-INDEX($M$11:$M$12,MATCH(($B$4+A144),$L$11:$L$12,1)))*(($B$4+A144)-INDEX($L$11:$L$12,MATCH(($B$4+A144),$L$11:$L$12,1)))/(INDEX($L$11:$L$12,MATCH(($B$4+A144),$L$11:$L$12,1)+1)-INDEX($L$11:$L$12,MATCH(($B$4+A144),$L$11:$L$12,1)))))))/(1-(IF(($B$4+A144)&lt;=$I$11,$J$11,IF(($B$4+A144)&gt;=$I$33,$J$33,INDEX($J$11:$J$33,MATCH(($B$4+A144),$I$11:$I$33,1))+(INDEX($J$11:$J$33,MATCH(($B$4+A144),$I$11:$I$33,1)+1)-INDEX($J$11:$J$33,MATCH(($B$4+A144),$I$11:$I$33,1)))*(($B$4+A144)-INDEX($I$11:$I$33,MATCH(($B$4+A144),$I$11:$I$33,1)))/(INDEX($I$11:$I$33,MATCH(($B$4+A144),$I$11:$I$33,1)+1)-INDEX($I$11:$I$33,MATCH(($B$4+A144),$I$11:$I$33,1))))))),1)</f>
        <v>1</v>
      </c>
      <c r="D144" s="43" t="n">
        <f aca="false">B144*(1+$B$30)^(-A144)</f>
        <v>0.586897390199131</v>
      </c>
      <c r="E144" s="43" t="n">
        <f aca="false">B144*C144*(1+$B$5)^(-A144)</f>
        <v>1</v>
      </c>
      <c r="G144" s="32" t="n">
        <f aca="false">$B$31+0.125+84*0.25</f>
        <v>83.565</v>
      </c>
      <c r="H144" s="27" t="n">
        <f aca="false">IF(G144&lt;$B$33,1,0)</f>
        <v>1</v>
      </c>
      <c r="I144" s="43" t="n">
        <f aca="false">H144*(1-$B$6)^(G144-$B$31)*(1+$B$30)^(-G144)</f>
        <v>0.295515888584765</v>
      </c>
      <c r="J144" s="43" t="n">
        <f aca="false">H144*(1-$B$6)^(G144-$B$31)*L144*(1+$B$5)^(-G144)</f>
        <v>0.80871125230998</v>
      </c>
      <c r="L144" s="43" t="n">
        <f aca="false">IF($B$7="Oui",1-(IF(($B$4+G144)&lt;=$L$11,$M$11,IF(($B$4+G144)&gt;=$L$12,$M$12,INDEX($M$11:$M$12,MATCH(($B$4+G144),$L$11:$L$12,1))+(INDEX($M$11:$M$12,MATCH(($B$4+G144),$L$11:$L$12,1)+1)-INDEX($M$11:$M$12,MATCH(($B$4+G144),$L$11:$L$12,1)))*(($B$4+G144)-INDEX($L$11:$L$12,MATCH(($B$4+G144),$L$11:$L$12,1)))/(INDEX($L$11:$L$12,MATCH(($B$4+G144),$L$11:$L$12,1)+1)-INDEX($L$11:$L$12,MATCH(($B$4+G144),$L$11:$L$12,1)))))),1)</f>
        <v>1</v>
      </c>
    </row>
    <row r="145" customFormat="false" ht="15" hidden="false" customHeight="false" outlineLevel="0" collapsed="false">
      <c r="A145" s="32" t="n">
        <f aca="false">$B$32+0.125+85*0.25</f>
        <v>44.485</v>
      </c>
      <c r="B145" s="27" t="n">
        <f aca="false">IF(A145&lt;$B$31,1,0)</f>
        <v>1</v>
      </c>
      <c r="C145" s="43" t="n">
        <f aca="false">IF($B$7="Oui",1+((IF(($B$4+A145)&lt;=$I$11,$J$11,IF(($B$4+A145)&gt;=$I$33,$J$33,INDEX($J$11:$J$33,MATCH(($B$4+A145),$I$11:$I$33,1))+(INDEX($J$11:$J$33,MATCH(($B$4+A145),$I$11:$I$33,1)+1)-INDEX($J$11:$J$33,MATCH(($B$4+A145),$I$11:$I$33,1)))*(($B$4+A145)-INDEX($I$11:$I$33,MATCH(($B$4+A145),$I$11:$I$33,1)))/(INDEX($I$11:$I$33,MATCH(($B$4+A145),$I$11:$I$33,1)+1)-INDEX($I$11:$I$33,MATCH(($B$4+A145),$I$11:$I$33,1))))))-(IF(($B$4+A145)&lt;=$L$11,$M$11,IF(($B$4+A145)&gt;=$L$12,$M$12,INDEX($M$11:$M$12,MATCH(($B$4+A145),$L$11:$L$12,1))+(INDEX($M$11:$M$12,MATCH(($B$4+A145),$L$11:$L$12,1)+1)-INDEX($M$11:$M$12,MATCH(($B$4+A145),$L$11:$L$12,1)))*(($B$4+A145)-INDEX($L$11:$L$12,MATCH(($B$4+A145),$L$11:$L$12,1)))/(INDEX($L$11:$L$12,MATCH(($B$4+A145),$L$11:$L$12,1)+1)-INDEX($L$11:$L$12,MATCH(($B$4+A145),$L$11:$L$12,1)))))))/(1-(IF(($B$4+A145)&lt;=$I$11,$J$11,IF(($B$4+A145)&gt;=$I$33,$J$33,INDEX($J$11:$J$33,MATCH(($B$4+A145),$I$11:$I$33,1))+(INDEX($J$11:$J$33,MATCH(($B$4+A145),$I$11:$I$33,1)+1)-INDEX($J$11:$J$33,MATCH(($B$4+A145),$I$11:$I$33,1)))*(($B$4+A145)-INDEX($I$11:$I$33,MATCH(($B$4+A145),$I$11:$I$33,1)))/(INDEX($I$11:$I$33,MATCH(($B$4+A145),$I$11:$I$33,1)+1)-INDEX($I$11:$I$33,MATCH(($B$4+A145),$I$11:$I$33,1))))))),1)</f>
        <v>1</v>
      </c>
      <c r="D145" s="43" t="n">
        <f aca="false">B145*(1+$B$30)^(-A145)</f>
        <v>0.585132440468069</v>
      </c>
      <c r="E145" s="43" t="n">
        <f aca="false">B145*C145*(1+$B$5)^(-A145)</f>
        <v>1</v>
      </c>
      <c r="G145" s="32" t="n">
        <f aca="false">$B$31+0.125+85*0.25</f>
        <v>83.815</v>
      </c>
      <c r="H145" s="27" t="n">
        <f aca="false">IF(G145&lt;$B$33,1,0)</f>
        <v>1</v>
      </c>
      <c r="I145" s="43" t="n">
        <f aca="false">H145*(1-$B$6)^(G145-$B$31)*(1+$B$30)^(-G145)</f>
        <v>0.293887850795764</v>
      </c>
      <c r="J145" s="43" t="n">
        <f aca="false">H145*(1-$B$6)^(G145-$B$31)*L145*(1+$B$5)^(-G145)</f>
        <v>0.806681847978463</v>
      </c>
      <c r="L145" s="43" t="n">
        <f aca="false">IF($B$7="Oui",1-(IF(($B$4+G145)&lt;=$L$11,$M$11,IF(($B$4+G145)&gt;=$L$12,$M$12,INDEX($M$11:$M$12,MATCH(($B$4+G145),$L$11:$L$12,1))+(INDEX($M$11:$M$12,MATCH(($B$4+G145),$L$11:$L$12,1)+1)-INDEX($M$11:$M$12,MATCH(($B$4+G145),$L$11:$L$12,1)))*(($B$4+G145)-INDEX($L$11:$L$12,MATCH(($B$4+G145),$L$11:$L$12,1)))/(INDEX($L$11:$L$12,MATCH(($B$4+G145),$L$11:$L$12,1)+1)-INDEX($L$11:$L$12,MATCH(($B$4+G145),$L$11:$L$12,1)))))),1)</f>
        <v>1</v>
      </c>
    </row>
    <row r="146" customFormat="false" ht="15" hidden="false" customHeight="false" outlineLevel="0" collapsed="false">
      <c r="A146" s="32" t="n">
        <f aca="false">$B$32+0.125+86*0.25</f>
        <v>44.735</v>
      </c>
      <c r="B146" s="27" t="n">
        <f aca="false">IF(A146&lt;$B$31,1,0)</f>
        <v>1</v>
      </c>
      <c r="C146" s="43" t="n">
        <f aca="false">IF($B$7="Oui",1+((IF(($B$4+A146)&lt;=$I$11,$J$11,IF(($B$4+A146)&gt;=$I$33,$J$33,INDEX($J$11:$J$33,MATCH(($B$4+A146),$I$11:$I$33,1))+(INDEX($J$11:$J$33,MATCH(($B$4+A146),$I$11:$I$33,1)+1)-INDEX($J$11:$J$33,MATCH(($B$4+A146),$I$11:$I$33,1)))*(($B$4+A146)-INDEX($I$11:$I$33,MATCH(($B$4+A146),$I$11:$I$33,1)))/(INDEX($I$11:$I$33,MATCH(($B$4+A146),$I$11:$I$33,1)+1)-INDEX($I$11:$I$33,MATCH(($B$4+A146),$I$11:$I$33,1))))))-(IF(($B$4+A146)&lt;=$L$11,$M$11,IF(($B$4+A146)&gt;=$L$12,$M$12,INDEX($M$11:$M$12,MATCH(($B$4+A146),$L$11:$L$12,1))+(INDEX($M$11:$M$12,MATCH(($B$4+A146),$L$11:$L$12,1)+1)-INDEX($M$11:$M$12,MATCH(($B$4+A146),$L$11:$L$12,1)))*(($B$4+A146)-INDEX($L$11:$L$12,MATCH(($B$4+A146),$L$11:$L$12,1)))/(INDEX($L$11:$L$12,MATCH(($B$4+A146),$L$11:$L$12,1)+1)-INDEX($L$11:$L$12,MATCH(($B$4+A146),$L$11:$L$12,1)))))))/(1-(IF(($B$4+A146)&lt;=$I$11,$J$11,IF(($B$4+A146)&gt;=$I$33,$J$33,INDEX($J$11:$J$33,MATCH(($B$4+A146),$I$11:$I$33,1))+(INDEX($J$11:$J$33,MATCH(($B$4+A146),$I$11:$I$33,1)+1)-INDEX($J$11:$J$33,MATCH(($B$4+A146),$I$11:$I$33,1)))*(($B$4+A146)-INDEX($I$11:$I$33,MATCH(($B$4+A146),$I$11:$I$33,1)))/(INDEX($I$11:$I$33,MATCH(($B$4+A146),$I$11:$I$33,1)+1)-INDEX($I$11:$I$33,MATCH(($B$4+A146),$I$11:$I$33,1))))))),1)</f>
        <v>1</v>
      </c>
      <c r="D146" s="43" t="n">
        <f aca="false">B146*(1+$B$30)^(-A146)</f>
        <v>0.583372798389768</v>
      </c>
      <c r="E146" s="43" t="n">
        <f aca="false">B146*C146*(1+$B$5)^(-A146)</f>
        <v>1</v>
      </c>
      <c r="G146" s="32" t="n">
        <f aca="false">$B$31+0.125+86*0.25</f>
        <v>84.065</v>
      </c>
      <c r="H146" s="27" t="n">
        <f aca="false">IF(G146&lt;$B$33,1,0)</f>
        <v>1</v>
      </c>
      <c r="I146" s="43" t="n">
        <f aca="false">H146*(1-$B$6)^(G146-$B$31)*(1+$B$30)^(-G146)</f>
        <v>0.292268782091488</v>
      </c>
      <c r="J146" s="43" t="n">
        <f aca="false">H146*(1-$B$6)^(G146-$B$31)*L146*(1+$B$5)^(-G146)</f>
        <v>0.804657536295192</v>
      </c>
      <c r="L146" s="43" t="n">
        <f aca="false">IF($B$7="Oui",1-(IF(($B$4+G146)&lt;=$L$11,$M$11,IF(($B$4+G146)&gt;=$L$12,$M$12,INDEX($M$11:$M$12,MATCH(($B$4+G146),$L$11:$L$12,1))+(INDEX($M$11:$M$12,MATCH(($B$4+G146),$L$11:$L$12,1)+1)-INDEX($M$11:$M$12,MATCH(($B$4+G146),$L$11:$L$12,1)))*(($B$4+G146)-INDEX($L$11:$L$12,MATCH(($B$4+G146),$L$11:$L$12,1)))/(INDEX($L$11:$L$12,MATCH(($B$4+G146),$L$11:$L$12,1)+1)-INDEX($L$11:$L$12,MATCH(($B$4+G146),$L$11:$L$12,1)))))),1)</f>
        <v>1</v>
      </c>
    </row>
    <row r="147" customFormat="false" ht="15" hidden="false" customHeight="false" outlineLevel="0" collapsed="false">
      <c r="A147" s="32" t="n">
        <f aca="false">$B$32+0.125+87*0.25</f>
        <v>44.985</v>
      </c>
      <c r="B147" s="27" t="n">
        <f aca="false">IF(A147&lt;$B$31,1,0)</f>
        <v>1</v>
      </c>
      <c r="C147" s="43" t="n">
        <f aca="false">IF($B$7="Oui",1+((IF(($B$4+A147)&lt;=$I$11,$J$11,IF(($B$4+A147)&gt;=$I$33,$J$33,INDEX($J$11:$J$33,MATCH(($B$4+A147),$I$11:$I$33,1))+(INDEX($J$11:$J$33,MATCH(($B$4+A147),$I$11:$I$33,1)+1)-INDEX($J$11:$J$33,MATCH(($B$4+A147),$I$11:$I$33,1)))*(($B$4+A147)-INDEX($I$11:$I$33,MATCH(($B$4+A147),$I$11:$I$33,1)))/(INDEX($I$11:$I$33,MATCH(($B$4+A147),$I$11:$I$33,1)+1)-INDEX($I$11:$I$33,MATCH(($B$4+A147),$I$11:$I$33,1))))))-(IF(($B$4+A147)&lt;=$L$11,$M$11,IF(($B$4+A147)&gt;=$L$12,$M$12,INDEX($M$11:$M$12,MATCH(($B$4+A147),$L$11:$L$12,1))+(INDEX($M$11:$M$12,MATCH(($B$4+A147),$L$11:$L$12,1)+1)-INDEX($M$11:$M$12,MATCH(($B$4+A147),$L$11:$L$12,1)))*(($B$4+A147)-INDEX($L$11:$L$12,MATCH(($B$4+A147),$L$11:$L$12,1)))/(INDEX($L$11:$L$12,MATCH(($B$4+A147),$L$11:$L$12,1)+1)-INDEX($L$11:$L$12,MATCH(($B$4+A147),$L$11:$L$12,1)))))))/(1-(IF(($B$4+A147)&lt;=$I$11,$J$11,IF(($B$4+A147)&gt;=$I$33,$J$33,INDEX($J$11:$J$33,MATCH(($B$4+A147),$I$11:$I$33,1))+(INDEX($J$11:$J$33,MATCH(($B$4+A147),$I$11:$I$33,1)+1)-INDEX($J$11:$J$33,MATCH(($B$4+A147),$I$11:$I$33,1)))*(($B$4+A147)-INDEX($I$11:$I$33,MATCH(($B$4+A147),$I$11:$I$33,1)))/(INDEX($I$11:$I$33,MATCH(($B$4+A147),$I$11:$I$33,1)+1)-INDEX($I$11:$I$33,MATCH(($B$4+A147),$I$11:$I$33,1))))))),1)</f>
        <v>1</v>
      </c>
      <c r="D147" s="43" t="n">
        <f aca="false">B147*(1+$B$30)^(-A147)</f>
        <v>0.581618448002766</v>
      </c>
      <c r="E147" s="43" t="n">
        <f aca="false">B147*C147*(1+$B$5)^(-A147)</f>
        <v>1</v>
      </c>
      <c r="G147" s="32" t="n">
        <f aca="false">$B$31+0.125+87*0.25</f>
        <v>84.315</v>
      </c>
      <c r="H147" s="27" t="n">
        <f aca="false">IF(G147&lt;$B$33,1,0)</f>
        <v>1</v>
      </c>
      <c r="I147" s="43" t="n">
        <f aca="false">H147*(1-$B$6)^(G147-$B$31)*(1+$B$30)^(-G147)</f>
        <v>0.290658633060013</v>
      </c>
      <c r="J147" s="43" t="n">
        <f aca="false">H147*(1-$B$6)^(G147-$B$31)*L147*(1+$B$5)^(-G147)</f>
        <v>0.802638304480523</v>
      </c>
      <c r="L147" s="43" t="n">
        <f aca="false">IF($B$7="Oui",1-(IF(($B$4+G147)&lt;=$L$11,$M$11,IF(($B$4+G147)&gt;=$L$12,$M$12,INDEX($M$11:$M$12,MATCH(($B$4+G147),$L$11:$L$12,1))+(INDEX($M$11:$M$12,MATCH(($B$4+G147),$L$11:$L$12,1)+1)-INDEX($M$11:$M$12,MATCH(($B$4+G147),$L$11:$L$12,1)))*(($B$4+G147)-INDEX($L$11:$L$12,MATCH(($B$4+G147),$L$11:$L$12,1)))/(INDEX($L$11:$L$12,MATCH(($B$4+G147),$L$11:$L$12,1)+1)-INDEX($L$11:$L$12,MATCH(($B$4+G147),$L$11:$L$12,1)))))),1)</f>
        <v>1</v>
      </c>
    </row>
    <row r="148" customFormat="false" ht="15" hidden="false" customHeight="false" outlineLevel="0" collapsed="false">
      <c r="A148" s="32" t="n">
        <f aca="false">$B$32+0.125+88*0.25</f>
        <v>45.235</v>
      </c>
      <c r="B148" s="27" t="n">
        <f aca="false">IF(A148&lt;$B$31,1,0)</f>
        <v>1</v>
      </c>
      <c r="C148" s="43" t="n">
        <f aca="false">IF($B$7="Oui",1+((IF(($B$4+A148)&lt;=$I$11,$J$11,IF(($B$4+A148)&gt;=$I$33,$J$33,INDEX($J$11:$J$33,MATCH(($B$4+A148),$I$11:$I$33,1))+(INDEX($J$11:$J$33,MATCH(($B$4+A148),$I$11:$I$33,1)+1)-INDEX($J$11:$J$33,MATCH(($B$4+A148),$I$11:$I$33,1)))*(($B$4+A148)-INDEX($I$11:$I$33,MATCH(($B$4+A148),$I$11:$I$33,1)))/(INDEX($I$11:$I$33,MATCH(($B$4+A148),$I$11:$I$33,1)+1)-INDEX($I$11:$I$33,MATCH(($B$4+A148),$I$11:$I$33,1))))))-(IF(($B$4+A148)&lt;=$L$11,$M$11,IF(($B$4+A148)&gt;=$L$12,$M$12,INDEX($M$11:$M$12,MATCH(($B$4+A148),$L$11:$L$12,1))+(INDEX($M$11:$M$12,MATCH(($B$4+A148),$L$11:$L$12,1)+1)-INDEX($M$11:$M$12,MATCH(($B$4+A148),$L$11:$L$12,1)))*(($B$4+A148)-INDEX($L$11:$L$12,MATCH(($B$4+A148),$L$11:$L$12,1)))/(INDEX($L$11:$L$12,MATCH(($B$4+A148),$L$11:$L$12,1)+1)-INDEX($L$11:$L$12,MATCH(($B$4+A148),$L$11:$L$12,1)))))))/(1-(IF(($B$4+A148)&lt;=$I$11,$J$11,IF(($B$4+A148)&gt;=$I$33,$J$33,INDEX($J$11:$J$33,MATCH(($B$4+A148),$I$11:$I$33,1))+(INDEX($J$11:$J$33,MATCH(($B$4+A148),$I$11:$I$33,1)+1)-INDEX($J$11:$J$33,MATCH(($B$4+A148),$I$11:$I$33,1)))*(($B$4+A148)-INDEX($I$11:$I$33,MATCH(($B$4+A148),$I$11:$I$33,1)))/(INDEX($I$11:$I$33,MATCH(($B$4+A148),$I$11:$I$33,1)+1)-INDEX($I$11:$I$33,MATCH(($B$4+A148),$I$11:$I$33,1))))))),1)</f>
        <v>1</v>
      </c>
      <c r="D148" s="43" t="n">
        <f aca="false">B148*(1+$B$30)^(-A148)</f>
        <v>0.5798693733936</v>
      </c>
      <c r="E148" s="43" t="n">
        <f aca="false">B148*C148*(1+$B$5)^(-A148)</f>
        <v>1</v>
      </c>
      <c r="G148" s="32" t="n">
        <f aca="false">$B$31+0.125+88*0.25</f>
        <v>84.565</v>
      </c>
      <c r="H148" s="27" t="n">
        <f aca="false">IF(G148&lt;$B$33,1,0)</f>
        <v>1</v>
      </c>
      <c r="I148" s="43" t="n">
        <f aca="false">H148*(1-$B$6)^(G148-$B$31)*(1+$B$30)^(-G148)</f>
        <v>0.289057354561631</v>
      </c>
      <c r="J148" s="43" t="n">
        <f aca="false">H148*(1-$B$6)^(G148-$B$31)*L148*(1+$B$5)^(-G148)</f>
        <v>0.80062413978688</v>
      </c>
      <c r="L148" s="43" t="n">
        <f aca="false">IF($B$7="Oui",1-(IF(($B$4+G148)&lt;=$L$11,$M$11,IF(($B$4+G148)&gt;=$L$12,$M$12,INDEX($M$11:$M$12,MATCH(($B$4+G148),$L$11:$L$12,1))+(INDEX($M$11:$M$12,MATCH(($B$4+G148),$L$11:$L$12,1)+1)-INDEX($M$11:$M$12,MATCH(($B$4+G148),$L$11:$L$12,1)))*(($B$4+G148)-INDEX($L$11:$L$12,MATCH(($B$4+G148),$L$11:$L$12,1)))/(INDEX($L$11:$L$12,MATCH(($B$4+G148),$L$11:$L$12,1)+1)-INDEX($L$11:$L$12,MATCH(($B$4+G148),$L$11:$L$12,1)))))),1)</f>
        <v>1</v>
      </c>
    </row>
    <row r="149" customFormat="false" ht="15" hidden="false" customHeight="false" outlineLevel="0" collapsed="false">
      <c r="A149" s="32" t="n">
        <f aca="false">$B$32+0.125+89*0.25</f>
        <v>45.485</v>
      </c>
      <c r="B149" s="27" t="n">
        <f aca="false">IF(A149&lt;$B$31,1,0)</f>
        <v>1</v>
      </c>
      <c r="C149" s="43" t="n">
        <f aca="false">IF($B$7="Oui",1+((IF(($B$4+A149)&lt;=$I$11,$J$11,IF(($B$4+A149)&gt;=$I$33,$J$33,INDEX($J$11:$J$33,MATCH(($B$4+A149),$I$11:$I$33,1))+(INDEX($J$11:$J$33,MATCH(($B$4+A149),$I$11:$I$33,1)+1)-INDEX($J$11:$J$33,MATCH(($B$4+A149),$I$11:$I$33,1)))*(($B$4+A149)-INDEX($I$11:$I$33,MATCH(($B$4+A149),$I$11:$I$33,1)))/(INDEX($I$11:$I$33,MATCH(($B$4+A149),$I$11:$I$33,1)+1)-INDEX($I$11:$I$33,MATCH(($B$4+A149),$I$11:$I$33,1))))))-(IF(($B$4+A149)&lt;=$L$11,$M$11,IF(($B$4+A149)&gt;=$L$12,$M$12,INDEX($M$11:$M$12,MATCH(($B$4+A149),$L$11:$L$12,1))+(INDEX($M$11:$M$12,MATCH(($B$4+A149),$L$11:$L$12,1)+1)-INDEX($M$11:$M$12,MATCH(($B$4+A149),$L$11:$L$12,1)))*(($B$4+A149)-INDEX($L$11:$L$12,MATCH(($B$4+A149),$L$11:$L$12,1)))/(INDEX($L$11:$L$12,MATCH(($B$4+A149),$L$11:$L$12,1)+1)-INDEX($L$11:$L$12,MATCH(($B$4+A149),$L$11:$L$12,1)))))))/(1-(IF(($B$4+A149)&lt;=$I$11,$J$11,IF(($B$4+A149)&gt;=$I$33,$J$33,INDEX($J$11:$J$33,MATCH(($B$4+A149),$I$11:$I$33,1))+(INDEX($J$11:$J$33,MATCH(($B$4+A149),$I$11:$I$33,1)+1)-INDEX($J$11:$J$33,MATCH(($B$4+A149),$I$11:$I$33,1)))*(($B$4+A149)-INDEX($I$11:$I$33,MATCH(($B$4+A149),$I$11:$I$33,1)))/(INDEX($I$11:$I$33,MATCH(($B$4+A149),$I$11:$I$33,1)+1)-INDEX($I$11:$I$33,MATCH(($B$4+A149),$I$11:$I$33,1))))))),1)</f>
        <v>1</v>
      </c>
      <c r="D149" s="43" t="n">
        <f aca="false">B149*(1+$B$30)^(-A149)</f>
        <v>0.578125558696666</v>
      </c>
      <c r="E149" s="43" t="n">
        <f aca="false">B149*C149*(1+$B$5)^(-A149)</f>
        <v>1</v>
      </c>
      <c r="G149" s="32" t="n">
        <f aca="false">$B$31+0.125+89*0.25</f>
        <v>84.815</v>
      </c>
      <c r="H149" s="27" t="n">
        <f aca="false">IF(G149&lt;$B$33,1,0)</f>
        <v>1</v>
      </c>
      <c r="I149" s="43" t="n">
        <f aca="false">H149*(1-$B$6)^(G149-$B$31)*(1+$B$30)^(-G149)</f>
        <v>0.287464897727351</v>
      </c>
      <c r="J149" s="43" t="n">
        <f aca="false">H149*(1-$B$6)^(G149-$B$31)*L149*(1+$B$5)^(-G149)</f>
        <v>0.798615029498678</v>
      </c>
      <c r="L149" s="43" t="n">
        <f aca="false">IF($B$7="Oui",1-(IF(($B$4+G149)&lt;=$L$11,$M$11,IF(($B$4+G149)&gt;=$L$12,$M$12,INDEX($M$11:$M$12,MATCH(($B$4+G149),$L$11:$L$12,1))+(INDEX($M$11:$M$12,MATCH(($B$4+G149),$L$11:$L$12,1)+1)-INDEX($M$11:$M$12,MATCH(($B$4+G149),$L$11:$L$12,1)))*(($B$4+G149)-INDEX($L$11:$L$12,MATCH(($B$4+G149),$L$11:$L$12,1)))/(INDEX($L$11:$L$12,MATCH(($B$4+G149),$L$11:$L$12,1)+1)-INDEX($L$11:$L$12,MATCH(($B$4+G149),$L$11:$L$12,1)))))),1)</f>
        <v>1</v>
      </c>
    </row>
    <row r="150" customFormat="false" ht="15" hidden="false" customHeight="false" outlineLevel="0" collapsed="false">
      <c r="A150" s="32" t="n">
        <f aca="false">$B$32+0.125+90*0.25</f>
        <v>45.735</v>
      </c>
      <c r="B150" s="27" t="n">
        <f aca="false">IF(A150&lt;$B$31,1,0)</f>
        <v>1</v>
      </c>
      <c r="C150" s="43" t="n">
        <f aca="false">IF($B$7="Oui",1+((IF(($B$4+A150)&lt;=$I$11,$J$11,IF(($B$4+A150)&gt;=$I$33,$J$33,INDEX($J$11:$J$33,MATCH(($B$4+A150),$I$11:$I$33,1))+(INDEX($J$11:$J$33,MATCH(($B$4+A150),$I$11:$I$33,1)+1)-INDEX($J$11:$J$33,MATCH(($B$4+A150),$I$11:$I$33,1)))*(($B$4+A150)-INDEX($I$11:$I$33,MATCH(($B$4+A150),$I$11:$I$33,1)))/(INDEX($I$11:$I$33,MATCH(($B$4+A150),$I$11:$I$33,1)+1)-INDEX($I$11:$I$33,MATCH(($B$4+A150),$I$11:$I$33,1))))))-(IF(($B$4+A150)&lt;=$L$11,$M$11,IF(($B$4+A150)&gt;=$L$12,$M$12,INDEX($M$11:$M$12,MATCH(($B$4+A150),$L$11:$L$12,1))+(INDEX($M$11:$M$12,MATCH(($B$4+A150),$L$11:$L$12,1)+1)-INDEX($M$11:$M$12,MATCH(($B$4+A150),$L$11:$L$12,1)))*(($B$4+A150)-INDEX($L$11:$L$12,MATCH(($B$4+A150),$L$11:$L$12,1)))/(INDEX($L$11:$L$12,MATCH(($B$4+A150),$L$11:$L$12,1)+1)-INDEX($L$11:$L$12,MATCH(($B$4+A150),$L$11:$L$12,1)))))))/(1-(IF(($B$4+A150)&lt;=$I$11,$J$11,IF(($B$4+A150)&gt;=$I$33,$J$33,INDEX($J$11:$J$33,MATCH(($B$4+A150),$I$11:$I$33,1))+(INDEX($J$11:$J$33,MATCH(($B$4+A150),$I$11:$I$33,1)+1)-INDEX($J$11:$J$33,MATCH(($B$4+A150),$I$11:$I$33,1)))*(($B$4+A150)-INDEX($I$11:$I$33,MATCH(($B$4+A150),$I$11:$I$33,1)))/(INDEX($I$11:$I$33,MATCH(($B$4+A150),$I$11:$I$33,1)+1)-INDEX($I$11:$I$33,MATCH(($B$4+A150),$I$11:$I$33,1))))))),1)</f>
        <v>1</v>
      </c>
      <c r="D150" s="43" t="n">
        <f aca="false">B150*(1+$B$30)^(-A150)</f>
        <v>0.576386988094068</v>
      </c>
      <c r="E150" s="43" t="n">
        <f aca="false">B150*C150*(1+$B$5)^(-A150)</f>
        <v>1</v>
      </c>
      <c r="G150" s="32" t="n">
        <f aca="false">$B$31+0.125+90*0.25</f>
        <v>85.065</v>
      </c>
      <c r="H150" s="27" t="n">
        <f aca="false">IF(G150&lt;$B$33,1,0)</f>
        <v>1</v>
      </c>
      <c r="I150" s="43" t="n">
        <f aca="false">H150*(1-$B$6)^(G150-$B$31)*(1+$B$30)^(-G150)</f>
        <v>0.285881213957409</v>
      </c>
      <c r="J150" s="43" t="n">
        <f aca="false">H150*(1-$B$6)^(G150-$B$31)*L150*(1+$B$5)^(-G150)</f>
        <v>0.79661096093224</v>
      </c>
      <c r="L150" s="43" t="n">
        <f aca="false">IF($B$7="Oui",1-(IF(($B$4+G150)&lt;=$L$11,$M$11,IF(($B$4+G150)&gt;=$L$12,$M$12,INDEX($M$11:$M$12,MATCH(($B$4+G150),$L$11:$L$12,1))+(INDEX($M$11:$M$12,MATCH(($B$4+G150),$L$11:$L$12,1)+1)-INDEX($M$11:$M$12,MATCH(($B$4+G150),$L$11:$L$12,1)))*(($B$4+G150)-INDEX($L$11:$L$12,MATCH(($B$4+G150),$L$11:$L$12,1)))/(INDEX($L$11:$L$12,MATCH(($B$4+G150),$L$11:$L$12,1)+1)-INDEX($L$11:$L$12,MATCH(($B$4+G150),$L$11:$L$12,1)))))),1)</f>
        <v>1</v>
      </c>
    </row>
    <row r="151" customFormat="false" ht="15" hidden="false" customHeight="false" outlineLevel="0" collapsed="false">
      <c r="A151" s="32" t="n">
        <f aca="false">$B$32+0.125+91*0.25</f>
        <v>45.985</v>
      </c>
      <c r="B151" s="27" t="n">
        <f aca="false">IF(A151&lt;$B$31,1,0)</f>
        <v>1</v>
      </c>
      <c r="C151" s="43" t="n">
        <f aca="false">IF($B$7="Oui",1+((IF(($B$4+A151)&lt;=$I$11,$J$11,IF(($B$4+A151)&gt;=$I$33,$J$33,INDEX($J$11:$J$33,MATCH(($B$4+A151),$I$11:$I$33,1))+(INDEX($J$11:$J$33,MATCH(($B$4+A151),$I$11:$I$33,1)+1)-INDEX($J$11:$J$33,MATCH(($B$4+A151),$I$11:$I$33,1)))*(($B$4+A151)-INDEX($I$11:$I$33,MATCH(($B$4+A151),$I$11:$I$33,1)))/(INDEX($I$11:$I$33,MATCH(($B$4+A151),$I$11:$I$33,1)+1)-INDEX($I$11:$I$33,MATCH(($B$4+A151),$I$11:$I$33,1))))))-(IF(($B$4+A151)&lt;=$L$11,$M$11,IF(($B$4+A151)&gt;=$L$12,$M$12,INDEX($M$11:$M$12,MATCH(($B$4+A151),$L$11:$L$12,1))+(INDEX($M$11:$M$12,MATCH(($B$4+A151),$L$11:$L$12,1)+1)-INDEX($M$11:$M$12,MATCH(($B$4+A151),$L$11:$L$12,1)))*(($B$4+A151)-INDEX($L$11:$L$12,MATCH(($B$4+A151),$L$11:$L$12,1)))/(INDEX($L$11:$L$12,MATCH(($B$4+A151),$L$11:$L$12,1)+1)-INDEX($L$11:$L$12,MATCH(($B$4+A151),$L$11:$L$12,1)))))))/(1-(IF(($B$4+A151)&lt;=$I$11,$J$11,IF(($B$4+A151)&gt;=$I$33,$J$33,INDEX($J$11:$J$33,MATCH(($B$4+A151),$I$11:$I$33,1))+(INDEX($J$11:$J$33,MATCH(($B$4+A151),$I$11:$I$33,1)+1)-INDEX($J$11:$J$33,MATCH(($B$4+A151),$I$11:$I$33,1)))*(($B$4+A151)-INDEX($I$11:$I$33,MATCH(($B$4+A151),$I$11:$I$33,1)))/(INDEX($I$11:$I$33,MATCH(($B$4+A151),$I$11:$I$33,1)+1)-INDEX($I$11:$I$33,MATCH(($B$4+A151),$I$11:$I$33,1))))))),1)</f>
        <v>1</v>
      </c>
      <c r="D151" s="43" t="n">
        <f aca="false">B151*(1+$B$30)^(-A151)</f>
        <v>0.574653645815482</v>
      </c>
      <c r="E151" s="43" t="n">
        <f aca="false">B151*C151*(1+$B$5)^(-A151)</f>
        <v>1</v>
      </c>
      <c r="G151" s="32" t="n">
        <f aca="false">$B$31+0.125+91*0.25</f>
        <v>85.315</v>
      </c>
      <c r="H151" s="27" t="n">
        <f aca="false">IF(G151&lt;$B$33,1,0)</f>
        <v>1</v>
      </c>
      <c r="I151" s="43" t="n">
        <f aca="false">H151*(1-$B$6)^(G151-$B$31)*(1+$B$30)^(-G151)</f>
        <v>0.284306254919785</v>
      </c>
      <c r="J151" s="43" t="n">
        <f aca="false">H151*(1-$B$6)^(G151-$B$31)*L151*(1+$B$5)^(-G151)</f>
        <v>0.794611921435717</v>
      </c>
      <c r="L151" s="43" t="n">
        <f aca="false">IF($B$7="Oui",1-(IF(($B$4+G151)&lt;=$L$11,$M$11,IF(($B$4+G151)&gt;=$L$12,$M$12,INDEX($M$11:$M$12,MATCH(($B$4+G151),$L$11:$L$12,1))+(INDEX($M$11:$M$12,MATCH(($B$4+G151),$L$11:$L$12,1)+1)-INDEX($M$11:$M$12,MATCH(($B$4+G151),$L$11:$L$12,1)))*(($B$4+G151)-INDEX($L$11:$L$12,MATCH(($B$4+G151),$L$11:$L$12,1)))/(INDEX($L$11:$L$12,MATCH(($B$4+G151),$L$11:$L$12,1)+1)-INDEX($L$11:$L$12,MATCH(($B$4+G151),$L$11:$L$12,1)))))),1)</f>
        <v>1</v>
      </c>
    </row>
    <row r="152" customFormat="false" ht="15" hidden="false" customHeight="false" outlineLevel="0" collapsed="false">
      <c r="A152" s="32" t="n">
        <f aca="false">$B$32+0.125+92*0.25</f>
        <v>46.235</v>
      </c>
      <c r="B152" s="27" t="n">
        <f aca="false">IF(A152&lt;$B$31,1,0)</f>
        <v>1</v>
      </c>
      <c r="C152" s="43" t="n">
        <f aca="false">IF($B$7="Oui",1+((IF(($B$4+A152)&lt;=$I$11,$J$11,IF(($B$4+A152)&gt;=$I$33,$J$33,INDEX($J$11:$J$33,MATCH(($B$4+A152),$I$11:$I$33,1))+(INDEX($J$11:$J$33,MATCH(($B$4+A152),$I$11:$I$33,1)+1)-INDEX($J$11:$J$33,MATCH(($B$4+A152),$I$11:$I$33,1)))*(($B$4+A152)-INDEX($I$11:$I$33,MATCH(($B$4+A152),$I$11:$I$33,1)))/(INDEX($I$11:$I$33,MATCH(($B$4+A152),$I$11:$I$33,1)+1)-INDEX($I$11:$I$33,MATCH(($B$4+A152),$I$11:$I$33,1))))))-(IF(($B$4+A152)&lt;=$L$11,$M$11,IF(($B$4+A152)&gt;=$L$12,$M$12,INDEX($M$11:$M$12,MATCH(($B$4+A152),$L$11:$L$12,1))+(INDEX($M$11:$M$12,MATCH(($B$4+A152),$L$11:$L$12,1)+1)-INDEX($M$11:$M$12,MATCH(($B$4+A152),$L$11:$L$12,1)))*(($B$4+A152)-INDEX($L$11:$L$12,MATCH(($B$4+A152),$L$11:$L$12,1)))/(INDEX($L$11:$L$12,MATCH(($B$4+A152),$L$11:$L$12,1)+1)-INDEX($L$11:$L$12,MATCH(($B$4+A152),$L$11:$L$12,1)))))))/(1-(IF(($B$4+A152)&lt;=$I$11,$J$11,IF(($B$4+A152)&gt;=$I$33,$J$33,INDEX($J$11:$J$33,MATCH(($B$4+A152),$I$11:$I$33,1))+(INDEX($J$11:$J$33,MATCH(($B$4+A152),$I$11:$I$33,1)+1)-INDEX($J$11:$J$33,MATCH(($B$4+A152),$I$11:$I$33,1)))*(($B$4+A152)-INDEX($I$11:$I$33,MATCH(($B$4+A152),$I$11:$I$33,1)))/(INDEX($I$11:$I$33,MATCH(($B$4+A152),$I$11:$I$33,1)+1)-INDEX($I$11:$I$33,MATCH(($B$4+A152),$I$11:$I$33,1))))))),1)</f>
        <v>1</v>
      </c>
      <c r="D152" s="43" t="n">
        <f aca="false">B152*(1+$B$30)^(-A152)</f>
        <v>0.572925516138008</v>
      </c>
      <c r="E152" s="43" t="n">
        <f aca="false">B152*C152*(1+$B$5)^(-A152)</f>
        <v>1</v>
      </c>
      <c r="G152" s="32" t="n">
        <f aca="false">$B$31+0.125+92*0.25</f>
        <v>85.565</v>
      </c>
      <c r="H152" s="27" t="n">
        <f aca="false">IF(G152&lt;$B$33,1,0)</f>
        <v>1</v>
      </c>
      <c r="I152" s="43" t="n">
        <f aca="false">H152*(1-$B$6)^(G152-$B$31)*(1+$B$30)^(-G152)</f>
        <v>0.282739972548724</v>
      </c>
      <c r="J152" s="43" t="n">
        <f aca="false">H152*(1-$B$6)^(G152-$B$31)*L152*(1+$B$5)^(-G152)</f>
        <v>0.792617898389011</v>
      </c>
      <c r="L152" s="43" t="n">
        <f aca="false">IF($B$7="Oui",1-(IF(($B$4+G152)&lt;=$L$11,$M$11,IF(($B$4+G152)&gt;=$L$12,$M$12,INDEX($M$11:$M$12,MATCH(($B$4+G152),$L$11:$L$12,1))+(INDEX($M$11:$M$12,MATCH(($B$4+G152),$L$11:$L$12,1)+1)-INDEX($M$11:$M$12,MATCH(($B$4+G152),$L$11:$L$12,1)))*(($B$4+G152)-INDEX($L$11:$L$12,MATCH(($B$4+G152),$L$11:$L$12,1)))/(INDEX($L$11:$L$12,MATCH(($B$4+G152),$L$11:$L$12,1)+1)-INDEX($L$11:$L$12,MATCH(($B$4+G152),$L$11:$L$12,1)))))),1)</f>
        <v>1</v>
      </c>
    </row>
    <row r="153" customFormat="false" ht="15" hidden="false" customHeight="false" outlineLevel="0" collapsed="false">
      <c r="A153" s="32" t="n">
        <f aca="false">$B$32+0.125+93*0.25</f>
        <v>46.485</v>
      </c>
      <c r="B153" s="27" t="n">
        <f aca="false">IF(A153&lt;$B$31,1,0)</f>
        <v>1</v>
      </c>
      <c r="C153" s="43" t="n">
        <f aca="false">IF($B$7="Oui",1+((IF(($B$4+A153)&lt;=$I$11,$J$11,IF(($B$4+A153)&gt;=$I$33,$J$33,INDEX($J$11:$J$33,MATCH(($B$4+A153),$I$11:$I$33,1))+(INDEX($J$11:$J$33,MATCH(($B$4+A153),$I$11:$I$33,1)+1)-INDEX($J$11:$J$33,MATCH(($B$4+A153),$I$11:$I$33,1)))*(($B$4+A153)-INDEX($I$11:$I$33,MATCH(($B$4+A153),$I$11:$I$33,1)))/(INDEX($I$11:$I$33,MATCH(($B$4+A153),$I$11:$I$33,1)+1)-INDEX($I$11:$I$33,MATCH(($B$4+A153),$I$11:$I$33,1))))))-(IF(($B$4+A153)&lt;=$L$11,$M$11,IF(($B$4+A153)&gt;=$L$12,$M$12,INDEX($M$11:$M$12,MATCH(($B$4+A153),$L$11:$L$12,1))+(INDEX($M$11:$M$12,MATCH(($B$4+A153),$L$11:$L$12,1)+1)-INDEX($M$11:$M$12,MATCH(($B$4+A153),$L$11:$L$12,1)))*(($B$4+A153)-INDEX($L$11:$L$12,MATCH(($B$4+A153),$L$11:$L$12,1)))/(INDEX($L$11:$L$12,MATCH(($B$4+A153),$L$11:$L$12,1)+1)-INDEX($L$11:$L$12,MATCH(($B$4+A153),$L$11:$L$12,1)))))))/(1-(IF(($B$4+A153)&lt;=$I$11,$J$11,IF(($B$4+A153)&gt;=$I$33,$J$33,INDEX($J$11:$J$33,MATCH(($B$4+A153),$I$11:$I$33,1))+(INDEX($J$11:$J$33,MATCH(($B$4+A153),$I$11:$I$33,1)+1)-INDEX($J$11:$J$33,MATCH(($B$4+A153),$I$11:$I$33,1)))*(($B$4+A153)-INDEX($I$11:$I$33,MATCH(($B$4+A153),$I$11:$I$33,1)))/(INDEX($I$11:$I$33,MATCH(($B$4+A153),$I$11:$I$33,1)+1)-INDEX($I$11:$I$33,MATCH(($B$4+A153),$I$11:$I$33,1))))))),1)</f>
        <v>1</v>
      </c>
      <c r="D153" s="43" t="n">
        <f aca="false">B153*(1+$B$30)^(-A153)</f>
        <v>0.571202583386027</v>
      </c>
      <c r="E153" s="43" t="n">
        <f aca="false">B153*C153*(1+$B$5)^(-A153)</f>
        <v>1</v>
      </c>
      <c r="G153" s="32" t="n">
        <f aca="false">$B$31+0.125+93*0.25</f>
        <v>85.815</v>
      </c>
      <c r="H153" s="27" t="n">
        <f aca="false">IF(G153&lt;$B$33,1,0)</f>
        <v>1</v>
      </c>
      <c r="I153" s="43" t="n">
        <f aca="false">H153*(1-$B$6)^(G153-$B$31)*(1+$B$30)^(-G153)</f>
        <v>0.281182319043273</v>
      </c>
      <c r="J153" s="43" t="n">
        <f aca="false">H153*(1-$B$6)^(G153-$B$31)*L153*(1+$B$5)^(-G153)</f>
        <v>0.790628879203691</v>
      </c>
      <c r="L153" s="43" t="n">
        <f aca="false">IF($B$7="Oui",1-(IF(($B$4+G153)&lt;=$L$11,$M$11,IF(($B$4+G153)&gt;=$L$12,$M$12,INDEX($M$11:$M$12,MATCH(($B$4+G153),$L$11:$L$12,1))+(INDEX($M$11:$M$12,MATCH(($B$4+G153),$L$11:$L$12,1)+1)-INDEX($M$11:$M$12,MATCH(($B$4+G153),$L$11:$L$12,1)))*(($B$4+G153)-INDEX($L$11:$L$12,MATCH(($B$4+G153),$L$11:$L$12,1)))/(INDEX($L$11:$L$12,MATCH(($B$4+G153),$L$11:$L$12,1)+1)-INDEX($L$11:$L$12,MATCH(($B$4+G153),$L$11:$L$12,1)))))),1)</f>
        <v>1</v>
      </c>
    </row>
    <row r="154" customFormat="false" ht="15" hidden="false" customHeight="false" outlineLevel="0" collapsed="false">
      <c r="A154" s="32" t="n">
        <f aca="false">$B$32+0.125+94*0.25</f>
        <v>46.735</v>
      </c>
      <c r="B154" s="27" t="n">
        <f aca="false">IF(A154&lt;$B$31,1,0)</f>
        <v>1</v>
      </c>
      <c r="C154" s="43" t="n">
        <f aca="false">IF($B$7="Oui",1+((IF(($B$4+A154)&lt;=$I$11,$J$11,IF(($B$4+A154)&gt;=$I$33,$J$33,INDEX($J$11:$J$33,MATCH(($B$4+A154),$I$11:$I$33,1))+(INDEX($J$11:$J$33,MATCH(($B$4+A154),$I$11:$I$33,1)+1)-INDEX($J$11:$J$33,MATCH(($B$4+A154),$I$11:$I$33,1)))*(($B$4+A154)-INDEX($I$11:$I$33,MATCH(($B$4+A154),$I$11:$I$33,1)))/(INDEX($I$11:$I$33,MATCH(($B$4+A154),$I$11:$I$33,1)+1)-INDEX($I$11:$I$33,MATCH(($B$4+A154),$I$11:$I$33,1))))))-(IF(($B$4+A154)&lt;=$L$11,$M$11,IF(($B$4+A154)&gt;=$L$12,$M$12,INDEX($M$11:$M$12,MATCH(($B$4+A154),$L$11:$L$12,1))+(INDEX($M$11:$M$12,MATCH(($B$4+A154),$L$11:$L$12,1)+1)-INDEX($M$11:$M$12,MATCH(($B$4+A154),$L$11:$L$12,1)))*(($B$4+A154)-INDEX($L$11:$L$12,MATCH(($B$4+A154),$L$11:$L$12,1)))/(INDEX($L$11:$L$12,MATCH(($B$4+A154),$L$11:$L$12,1)+1)-INDEX($L$11:$L$12,MATCH(($B$4+A154),$L$11:$L$12,1)))))))/(1-(IF(($B$4+A154)&lt;=$I$11,$J$11,IF(($B$4+A154)&gt;=$I$33,$J$33,INDEX($J$11:$J$33,MATCH(($B$4+A154),$I$11:$I$33,1))+(INDEX($J$11:$J$33,MATCH(($B$4+A154),$I$11:$I$33,1)+1)-INDEX($J$11:$J$33,MATCH(($B$4+A154),$I$11:$I$33,1)))*(($B$4+A154)-INDEX($I$11:$I$33,MATCH(($B$4+A154),$I$11:$I$33,1)))/(INDEX($I$11:$I$33,MATCH(($B$4+A154),$I$11:$I$33,1)+1)-INDEX($I$11:$I$33,MATCH(($B$4+A154),$I$11:$I$33,1))))))),1)</f>
        <v>1</v>
      </c>
      <c r="D154" s="43" t="n">
        <f aca="false">B154*(1+$B$30)^(-A154)</f>
        <v>0.569484831931064</v>
      </c>
      <c r="E154" s="43" t="n">
        <f aca="false">B154*C154*(1+$B$5)^(-A154)</f>
        <v>1</v>
      </c>
      <c r="G154" s="32" t="n">
        <f aca="false">$B$31+0.125+94*0.25</f>
        <v>86.065</v>
      </c>
      <c r="H154" s="27" t="n">
        <f aca="false">IF(G154&lt;$B$33,1,0)</f>
        <v>1</v>
      </c>
      <c r="I154" s="43" t="n">
        <f aca="false">H154*(1-$B$6)^(G154-$B$31)*(1+$B$30)^(-G154)</f>
        <v>0.279633246865822</v>
      </c>
      <c r="J154" s="43" t="n">
        <f aca="false">H154*(1-$B$6)^(G154-$B$31)*L154*(1+$B$5)^(-G154)</f>
        <v>0.788644851322918</v>
      </c>
      <c r="L154" s="43" t="n">
        <f aca="false">IF($B$7="Oui",1-(IF(($B$4+G154)&lt;=$L$11,$M$11,IF(($B$4+G154)&gt;=$L$12,$M$12,INDEX($M$11:$M$12,MATCH(($B$4+G154),$L$11:$L$12,1))+(INDEX($M$11:$M$12,MATCH(($B$4+G154),$L$11:$L$12,1)+1)-INDEX($M$11:$M$12,MATCH(($B$4+G154),$L$11:$L$12,1)))*(($B$4+G154)-INDEX($L$11:$L$12,MATCH(($B$4+G154),$L$11:$L$12,1)))/(INDEX($L$11:$L$12,MATCH(($B$4+G154),$L$11:$L$12,1)+1)-INDEX($L$11:$L$12,MATCH(($B$4+G154),$L$11:$L$12,1)))))),1)</f>
        <v>1</v>
      </c>
    </row>
    <row r="155" customFormat="false" ht="15" hidden="false" customHeight="false" outlineLevel="0" collapsed="false">
      <c r="A155" s="32" t="n">
        <f aca="false">$B$32+0.125+95*0.25</f>
        <v>46.985</v>
      </c>
      <c r="B155" s="27" t="n">
        <f aca="false">IF(A155&lt;$B$31,1,0)</f>
        <v>1</v>
      </c>
      <c r="C155" s="43" t="n">
        <f aca="false">IF($B$7="Oui",1+((IF(($B$4+A155)&lt;=$I$11,$J$11,IF(($B$4+A155)&gt;=$I$33,$J$33,INDEX($J$11:$J$33,MATCH(($B$4+A155),$I$11:$I$33,1))+(INDEX($J$11:$J$33,MATCH(($B$4+A155),$I$11:$I$33,1)+1)-INDEX($J$11:$J$33,MATCH(($B$4+A155),$I$11:$I$33,1)))*(($B$4+A155)-INDEX($I$11:$I$33,MATCH(($B$4+A155),$I$11:$I$33,1)))/(INDEX($I$11:$I$33,MATCH(($B$4+A155),$I$11:$I$33,1)+1)-INDEX($I$11:$I$33,MATCH(($B$4+A155),$I$11:$I$33,1))))))-(IF(($B$4+A155)&lt;=$L$11,$M$11,IF(($B$4+A155)&gt;=$L$12,$M$12,INDEX($M$11:$M$12,MATCH(($B$4+A155),$L$11:$L$12,1))+(INDEX($M$11:$M$12,MATCH(($B$4+A155),$L$11:$L$12,1)+1)-INDEX($M$11:$M$12,MATCH(($B$4+A155),$L$11:$L$12,1)))*(($B$4+A155)-INDEX($L$11:$L$12,MATCH(($B$4+A155),$L$11:$L$12,1)))/(INDEX($L$11:$L$12,MATCH(($B$4+A155),$L$11:$L$12,1)+1)-INDEX($L$11:$L$12,MATCH(($B$4+A155),$L$11:$L$12,1)))))))/(1-(IF(($B$4+A155)&lt;=$I$11,$J$11,IF(($B$4+A155)&gt;=$I$33,$J$33,INDEX($J$11:$J$33,MATCH(($B$4+A155),$I$11:$I$33,1))+(INDEX($J$11:$J$33,MATCH(($B$4+A155),$I$11:$I$33,1)+1)-INDEX($J$11:$J$33,MATCH(($B$4+A155),$I$11:$I$33,1)))*(($B$4+A155)-INDEX($I$11:$I$33,MATCH(($B$4+A155),$I$11:$I$33,1)))/(INDEX($I$11:$I$33,MATCH(($B$4+A155),$I$11:$I$33,1)+1)-INDEX($I$11:$I$33,MATCH(($B$4+A155),$I$11:$I$33,1))))))),1)</f>
        <v>1</v>
      </c>
      <c r="D155" s="43" t="n">
        <f aca="false">B155*(1+$B$30)^(-A155)</f>
        <v>0.56777224619164</v>
      </c>
      <c r="E155" s="43" t="n">
        <f aca="false">B155*C155*(1+$B$5)^(-A155)</f>
        <v>1</v>
      </c>
      <c r="G155" s="32" t="n">
        <f aca="false">$B$31+0.125+95*0.25</f>
        <v>86.315</v>
      </c>
      <c r="H155" s="27" t="n">
        <f aca="false">IF(G155&lt;$B$33,1,0)</f>
        <v>1</v>
      </c>
      <c r="I155" s="43" t="n">
        <f aca="false">H155*(1-$B$6)^(G155-$B$31)*(1+$B$30)^(-G155)</f>
        <v>0.278092708740651</v>
      </c>
      <c r="J155" s="43" t="n">
        <f aca="false">H155*(1-$B$6)^(G155-$B$31)*L155*(1+$B$5)^(-G155)</f>
        <v>0.78666580222136</v>
      </c>
      <c r="L155" s="43" t="n">
        <f aca="false">IF($B$7="Oui",1-(IF(($B$4+G155)&lt;=$L$11,$M$11,IF(($B$4+G155)&gt;=$L$12,$M$12,INDEX($M$11:$M$12,MATCH(($B$4+G155),$L$11:$L$12,1))+(INDEX($M$11:$M$12,MATCH(($B$4+G155),$L$11:$L$12,1)+1)-INDEX($M$11:$M$12,MATCH(($B$4+G155),$L$11:$L$12,1)))*(($B$4+G155)-INDEX($L$11:$L$12,MATCH(($B$4+G155),$L$11:$L$12,1)))/(INDEX($L$11:$L$12,MATCH(($B$4+G155),$L$11:$L$12,1)+1)-INDEX($L$11:$L$12,MATCH(($B$4+G155),$L$11:$L$12,1)))))),1)</f>
        <v>1</v>
      </c>
    </row>
    <row r="156" customFormat="false" ht="15" hidden="false" customHeight="false" outlineLevel="0" collapsed="false">
      <c r="A156" s="32" t="n">
        <f aca="false">$B$32+0.125+96*0.25</f>
        <v>47.235</v>
      </c>
      <c r="B156" s="27" t="n">
        <f aca="false">IF(A156&lt;$B$31,1,0)</f>
        <v>1</v>
      </c>
      <c r="C156" s="43" t="n">
        <f aca="false">IF($B$7="Oui",1+((IF(($B$4+A156)&lt;=$I$11,$J$11,IF(($B$4+A156)&gt;=$I$33,$J$33,INDEX($J$11:$J$33,MATCH(($B$4+A156),$I$11:$I$33,1))+(INDEX($J$11:$J$33,MATCH(($B$4+A156),$I$11:$I$33,1)+1)-INDEX($J$11:$J$33,MATCH(($B$4+A156),$I$11:$I$33,1)))*(($B$4+A156)-INDEX($I$11:$I$33,MATCH(($B$4+A156),$I$11:$I$33,1)))/(INDEX($I$11:$I$33,MATCH(($B$4+A156),$I$11:$I$33,1)+1)-INDEX($I$11:$I$33,MATCH(($B$4+A156),$I$11:$I$33,1))))))-(IF(($B$4+A156)&lt;=$L$11,$M$11,IF(($B$4+A156)&gt;=$L$12,$M$12,INDEX($M$11:$M$12,MATCH(($B$4+A156),$L$11:$L$12,1))+(INDEX($M$11:$M$12,MATCH(($B$4+A156),$L$11:$L$12,1)+1)-INDEX($M$11:$M$12,MATCH(($B$4+A156),$L$11:$L$12,1)))*(($B$4+A156)-INDEX($L$11:$L$12,MATCH(($B$4+A156),$L$11:$L$12,1)))/(INDEX($L$11:$L$12,MATCH(($B$4+A156),$L$11:$L$12,1)+1)-INDEX($L$11:$L$12,MATCH(($B$4+A156),$L$11:$L$12,1)))))))/(1-(IF(($B$4+A156)&lt;=$I$11,$J$11,IF(($B$4+A156)&gt;=$I$33,$J$33,INDEX($J$11:$J$33,MATCH(($B$4+A156),$I$11:$I$33,1))+(INDEX($J$11:$J$33,MATCH(($B$4+A156),$I$11:$I$33,1)+1)-INDEX($J$11:$J$33,MATCH(($B$4+A156),$I$11:$I$33,1)))*(($B$4+A156)-INDEX($I$11:$I$33,MATCH(($B$4+A156),$I$11:$I$33,1)))/(INDEX($I$11:$I$33,MATCH(($B$4+A156),$I$11:$I$33,1)+1)-INDEX($I$11:$I$33,MATCH(($B$4+A156),$I$11:$I$33,1))))))),1)</f>
        <v>1</v>
      </c>
      <c r="D156" s="43" t="n">
        <f aca="false">B156*(1+$B$30)^(-A156)</f>
        <v>0.566064810633134</v>
      </c>
      <c r="E156" s="43" t="n">
        <f aca="false">B156*C156*(1+$B$5)^(-A156)</f>
        <v>1</v>
      </c>
      <c r="G156" s="32" t="n">
        <f aca="false">$B$31+0.125+96*0.25</f>
        <v>86.565</v>
      </c>
      <c r="H156" s="27" t="n">
        <f aca="false">IF(G156&lt;$B$33,1,0)</f>
        <v>1</v>
      </c>
      <c r="I156" s="43" t="n">
        <f aca="false">H156*(1-$B$6)^(G156-$B$31)*(1+$B$30)^(-G156)</f>
        <v>0.276560657652488</v>
      </c>
      <c r="J156" s="43" t="n">
        <f aca="false">H156*(1-$B$6)^(G156-$B$31)*L156*(1+$B$5)^(-G156)</f>
        <v>0.784691719405121</v>
      </c>
      <c r="L156" s="43" t="n">
        <f aca="false">IF($B$7="Oui",1-(IF(($B$4+G156)&lt;=$L$11,$M$11,IF(($B$4+G156)&gt;=$L$12,$M$12,INDEX($M$11:$M$12,MATCH(($B$4+G156),$L$11:$L$12,1))+(INDEX($M$11:$M$12,MATCH(($B$4+G156),$L$11:$L$12,1)+1)-INDEX($M$11:$M$12,MATCH(($B$4+G156),$L$11:$L$12,1)))*(($B$4+G156)-INDEX($L$11:$L$12,MATCH(($B$4+G156),$L$11:$L$12,1)))/(INDEX($L$11:$L$12,MATCH(($B$4+G156),$L$11:$L$12,1)+1)-INDEX($L$11:$L$12,MATCH(($B$4+G156),$L$11:$L$12,1)))))),1)</f>
        <v>1</v>
      </c>
    </row>
    <row r="157" customFormat="false" ht="15" hidden="false" customHeight="false" outlineLevel="0" collapsed="false">
      <c r="A157" s="32" t="n">
        <f aca="false">$B$32+0.125+97*0.25</f>
        <v>47.485</v>
      </c>
      <c r="B157" s="27" t="n">
        <f aca="false">IF(A157&lt;$B$31,1,0)</f>
        <v>1</v>
      </c>
      <c r="C157" s="43" t="n">
        <f aca="false">IF($B$7="Oui",1+((IF(($B$4+A157)&lt;=$I$11,$J$11,IF(($B$4+A157)&gt;=$I$33,$J$33,INDEX($J$11:$J$33,MATCH(($B$4+A157),$I$11:$I$33,1))+(INDEX($J$11:$J$33,MATCH(($B$4+A157),$I$11:$I$33,1)+1)-INDEX($J$11:$J$33,MATCH(($B$4+A157),$I$11:$I$33,1)))*(($B$4+A157)-INDEX($I$11:$I$33,MATCH(($B$4+A157),$I$11:$I$33,1)))/(INDEX($I$11:$I$33,MATCH(($B$4+A157),$I$11:$I$33,1)+1)-INDEX($I$11:$I$33,MATCH(($B$4+A157),$I$11:$I$33,1))))))-(IF(($B$4+A157)&lt;=$L$11,$M$11,IF(($B$4+A157)&gt;=$L$12,$M$12,INDEX($M$11:$M$12,MATCH(($B$4+A157),$L$11:$L$12,1))+(INDEX($M$11:$M$12,MATCH(($B$4+A157),$L$11:$L$12,1)+1)-INDEX($M$11:$M$12,MATCH(($B$4+A157),$L$11:$L$12,1)))*(($B$4+A157)-INDEX($L$11:$L$12,MATCH(($B$4+A157),$L$11:$L$12,1)))/(INDEX($L$11:$L$12,MATCH(($B$4+A157),$L$11:$L$12,1)+1)-INDEX($L$11:$L$12,MATCH(($B$4+A157),$L$11:$L$12,1)))))))/(1-(IF(($B$4+A157)&lt;=$I$11,$J$11,IF(($B$4+A157)&gt;=$I$33,$J$33,INDEX($J$11:$J$33,MATCH(($B$4+A157),$I$11:$I$33,1))+(INDEX($J$11:$J$33,MATCH(($B$4+A157),$I$11:$I$33,1)+1)-INDEX($J$11:$J$33,MATCH(($B$4+A157),$I$11:$I$33,1)))*(($B$4+A157)-INDEX($I$11:$I$33,MATCH(($B$4+A157),$I$11:$I$33,1)))/(INDEX($I$11:$I$33,MATCH(($B$4+A157),$I$11:$I$33,1)+1)-INDEX($I$11:$I$33,MATCH(($B$4+A157),$I$11:$I$33,1))))))),1)</f>
        <v>1</v>
      </c>
      <c r="D157" s="43" t="n">
        <f aca="false">B157*(1+$B$30)^(-A157)</f>
        <v>0.564362509767643</v>
      </c>
      <c r="E157" s="43" t="n">
        <f aca="false">B157*C157*(1+$B$5)^(-A157)</f>
        <v>1</v>
      </c>
      <c r="G157" s="32" t="n">
        <f aca="false">$B$31+0.125+97*0.25</f>
        <v>86.815</v>
      </c>
      <c r="H157" s="27" t="n">
        <f aca="false">IF(G157&lt;$B$33,1,0)</f>
        <v>0</v>
      </c>
      <c r="I157" s="43" t="n">
        <f aca="false">H157*(1-$B$6)^(G157-$B$31)*(1+$B$30)^(-G157)</f>
        <v>0</v>
      </c>
      <c r="J157" s="43" t="n">
        <f aca="false">H157*(1-$B$6)^(G157-$B$31)*L157*(1+$B$5)^(-G157)</f>
        <v>0</v>
      </c>
      <c r="L157" s="43" t="n">
        <f aca="false">IF($B$7="Oui",1-(IF(($B$4+G157)&lt;=$L$11,$M$11,IF(($B$4+G157)&gt;=$L$12,$M$12,INDEX($M$11:$M$12,MATCH(($B$4+G157),$L$11:$L$12,1))+(INDEX($M$11:$M$12,MATCH(($B$4+G157),$L$11:$L$12,1)+1)-INDEX($M$11:$M$12,MATCH(($B$4+G157),$L$11:$L$12,1)))*(($B$4+G157)-INDEX($L$11:$L$12,MATCH(($B$4+G157),$L$11:$L$12,1)))/(INDEX($L$11:$L$12,MATCH(($B$4+G157),$L$11:$L$12,1)+1)-INDEX($L$11:$L$12,MATCH(($B$4+G157),$L$11:$L$12,1)))))),1)</f>
        <v>1</v>
      </c>
    </row>
    <row r="158" customFormat="false" ht="15" hidden="false" customHeight="false" outlineLevel="0" collapsed="false">
      <c r="A158" s="32" t="n">
        <f aca="false">$B$32+0.125+98*0.25</f>
        <v>47.735</v>
      </c>
      <c r="B158" s="27" t="n">
        <f aca="false">IF(A158&lt;$B$31,1,0)</f>
        <v>1</v>
      </c>
      <c r="C158" s="43" t="n">
        <f aca="false">IF($B$7="Oui",1+((IF(($B$4+A158)&lt;=$I$11,$J$11,IF(($B$4+A158)&gt;=$I$33,$J$33,INDEX($J$11:$J$33,MATCH(($B$4+A158),$I$11:$I$33,1))+(INDEX($J$11:$J$33,MATCH(($B$4+A158),$I$11:$I$33,1)+1)-INDEX($J$11:$J$33,MATCH(($B$4+A158),$I$11:$I$33,1)))*(($B$4+A158)-INDEX($I$11:$I$33,MATCH(($B$4+A158),$I$11:$I$33,1)))/(INDEX($I$11:$I$33,MATCH(($B$4+A158),$I$11:$I$33,1)+1)-INDEX($I$11:$I$33,MATCH(($B$4+A158),$I$11:$I$33,1))))))-(IF(($B$4+A158)&lt;=$L$11,$M$11,IF(($B$4+A158)&gt;=$L$12,$M$12,INDEX($M$11:$M$12,MATCH(($B$4+A158),$L$11:$L$12,1))+(INDEX($M$11:$M$12,MATCH(($B$4+A158),$L$11:$L$12,1)+1)-INDEX($M$11:$M$12,MATCH(($B$4+A158),$L$11:$L$12,1)))*(($B$4+A158)-INDEX($L$11:$L$12,MATCH(($B$4+A158),$L$11:$L$12,1)))/(INDEX($L$11:$L$12,MATCH(($B$4+A158),$L$11:$L$12,1)+1)-INDEX($L$11:$L$12,MATCH(($B$4+A158),$L$11:$L$12,1)))))))/(1-(IF(($B$4+A158)&lt;=$I$11,$J$11,IF(($B$4+A158)&gt;=$I$33,$J$33,INDEX($J$11:$J$33,MATCH(($B$4+A158),$I$11:$I$33,1))+(INDEX($J$11:$J$33,MATCH(($B$4+A158),$I$11:$I$33,1)+1)-INDEX($J$11:$J$33,MATCH(($B$4+A158),$I$11:$I$33,1)))*(($B$4+A158)-INDEX($I$11:$I$33,MATCH(($B$4+A158),$I$11:$I$33,1)))/(INDEX($I$11:$I$33,MATCH(($B$4+A158),$I$11:$I$33,1)+1)-INDEX($I$11:$I$33,MATCH(($B$4+A158),$I$11:$I$33,1))))))),1)</f>
        <v>1</v>
      </c>
      <c r="D158" s="43" t="n">
        <f aca="false">B158*(1+$B$30)^(-A158)</f>
        <v>0.562665328153839</v>
      </c>
      <c r="E158" s="43" t="n">
        <f aca="false">B158*C158*(1+$B$5)^(-A158)</f>
        <v>1</v>
      </c>
      <c r="G158" s="32" t="n">
        <f aca="false">$B$31+0.125+98*0.25</f>
        <v>87.065</v>
      </c>
      <c r="H158" s="27" t="n">
        <f aca="false">IF(G158&lt;$B$33,1,0)</f>
        <v>0</v>
      </c>
      <c r="I158" s="43" t="n">
        <f aca="false">H158*(1-$B$6)^(G158-$B$31)*(1+$B$30)^(-G158)</f>
        <v>0</v>
      </c>
      <c r="J158" s="43" t="n">
        <f aca="false">H158*(1-$B$6)^(G158-$B$31)*L158*(1+$B$5)^(-G158)</f>
        <v>0</v>
      </c>
      <c r="L158" s="43" t="n">
        <f aca="false">IF($B$7="Oui",1-(IF(($B$4+G158)&lt;=$L$11,$M$11,IF(($B$4+G158)&gt;=$L$12,$M$12,INDEX($M$11:$M$12,MATCH(($B$4+G158),$L$11:$L$12,1))+(INDEX($M$11:$M$12,MATCH(($B$4+G158),$L$11:$L$12,1)+1)-INDEX($M$11:$M$12,MATCH(($B$4+G158),$L$11:$L$12,1)))*(($B$4+G158)-INDEX($L$11:$L$12,MATCH(($B$4+G158),$L$11:$L$12,1)))/(INDEX($L$11:$L$12,MATCH(($B$4+G158),$L$11:$L$12,1)+1)-INDEX($L$11:$L$12,MATCH(($B$4+G158),$L$11:$L$12,1)))))),1)</f>
        <v>1</v>
      </c>
    </row>
    <row r="159" customFormat="false" ht="15" hidden="false" customHeight="false" outlineLevel="0" collapsed="false">
      <c r="A159" s="32" t="n">
        <f aca="false">$B$32+0.125+99*0.25</f>
        <v>47.985</v>
      </c>
      <c r="B159" s="27" t="n">
        <f aca="false">IF(A159&lt;$B$31,1,0)</f>
        <v>1</v>
      </c>
      <c r="C159" s="43" t="n">
        <f aca="false">IF($B$7="Oui",1+((IF(($B$4+A159)&lt;=$I$11,$J$11,IF(($B$4+A159)&gt;=$I$33,$J$33,INDEX($J$11:$J$33,MATCH(($B$4+A159),$I$11:$I$33,1))+(INDEX($J$11:$J$33,MATCH(($B$4+A159),$I$11:$I$33,1)+1)-INDEX($J$11:$J$33,MATCH(($B$4+A159),$I$11:$I$33,1)))*(($B$4+A159)-INDEX($I$11:$I$33,MATCH(($B$4+A159),$I$11:$I$33,1)))/(INDEX($I$11:$I$33,MATCH(($B$4+A159),$I$11:$I$33,1)+1)-INDEX($I$11:$I$33,MATCH(($B$4+A159),$I$11:$I$33,1))))))-(IF(($B$4+A159)&lt;=$L$11,$M$11,IF(($B$4+A159)&gt;=$L$12,$M$12,INDEX($M$11:$M$12,MATCH(($B$4+A159),$L$11:$L$12,1))+(INDEX($M$11:$M$12,MATCH(($B$4+A159),$L$11:$L$12,1)+1)-INDEX($M$11:$M$12,MATCH(($B$4+A159),$L$11:$L$12,1)))*(($B$4+A159)-INDEX($L$11:$L$12,MATCH(($B$4+A159),$L$11:$L$12,1)))/(INDEX($L$11:$L$12,MATCH(($B$4+A159),$L$11:$L$12,1)+1)-INDEX($L$11:$L$12,MATCH(($B$4+A159),$L$11:$L$12,1)))))))/(1-(IF(($B$4+A159)&lt;=$I$11,$J$11,IF(($B$4+A159)&gt;=$I$33,$J$33,INDEX($J$11:$J$33,MATCH(($B$4+A159),$I$11:$I$33,1))+(INDEX($J$11:$J$33,MATCH(($B$4+A159),$I$11:$I$33,1)+1)-INDEX($J$11:$J$33,MATCH(($B$4+A159),$I$11:$I$33,1)))*(($B$4+A159)-INDEX($I$11:$I$33,MATCH(($B$4+A159),$I$11:$I$33,1)))/(INDEX($I$11:$I$33,MATCH(($B$4+A159),$I$11:$I$33,1)+1)-INDEX($I$11:$I$33,MATCH(($B$4+A159),$I$11:$I$33,1))))))),1)</f>
        <v>1</v>
      </c>
      <c r="D159" s="43" t="n">
        <f aca="false">B159*(1+$B$30)^(-A159)</f>
        <v>0.56097325039683</v>
      </c>
      <c r="E159" s="43" t="n">
        <f aca="false">B159*C159*(1+$B$5)^(-A159)</f>
        <v>1</v>
      </c>
      <c r="G159" s="32" t="n">
        <f aca="false">$B$31+0.125+99*0.25</f>
        <v>87.315</v>
      </c>
      <c r="H159" s="27" t="n">
        <f aca="false">IF(G159&lt;$B$33,1,0)</f>
        <v>0</v>
      </c>
      <c r="I159" s="43" t="n">
        <f aca="false">H159*(1-$B$6)^(G159-$B$31)*(1+$B$30)^(-G159)</f>
        <v>0</v>
      </c>
      <c r="J159" s="43" t="n">
        <f aca="false">H159*(1-$B$6)^(G159-$B$31)*L159*(1+$B$5)^(-G159)</f>
        <v>0</v>
      </c>
      <c r="L159" s="43" t="n">
        <f aca="false">IF($B$7="Oui",1-(IF(($B$4+G159)&lt;=$L$11,$M$11,IF(($B$4+G159)&gt;=$L$12,$M$12,INDEX($M$11:$M$12,MATCH(($B$4+G159),$L$11:$L$12,1))+(INDEX($M$11:$M$12,MATCH(($B$4+G159),$L$11:$L$12,1)+1)-INDEX($M$11:$M$12,MATCH(($B$4+G159),$L$11:$L$12,1)))*(($B$4+G159)-INDEX($L$11:$L$12,MATCH(($B$4+G159),$L$11:$L$12,1)))/(INDEX($L$11:$L$12,MATCH(($B$4+G159),$L$11:$L$12,1)+1)-INDEX($L$11:$L$12,MATCH(($B$4+G159),$L$11:$L$12,1)))))),1)</f>
        <v>1</v>
      </c>
    </row>
    <row r="160" customFormat="false" ht="15" hidden="false" customHeight="false" outlineLevel="0" collapsed="false">
      <c r="A160" s="32" t="n">
        <f aca="false">$B$32+0.125+100*0.25</f>
        <v>48.235</v>
      </c>
      <c r="B160" s="27" t="n">
        <f aca="false">IF(A160&lt;$B$31,1,0)</f>
        <v>1</v>
      </c>
      <c r="C160" s="43" t="n">
        <f aca="false">IF($B$7="Oui",1+((IF(($B$4+A160)&lt;=$I$11,$J$11,IF(($B$4+A160)&gt;=$I$33,$J$33,INDEX($J$11:$J$33,MATCH(($B$4+A160),$I$11:$I$33,1))+(INDEX($J$11:$J$33,MATCH(($B$4+A160),$I$11:$I$33,1)+1)-INDEX($J$11:$J$33,MATCH(($B$4+A160),$I$11:$I$33,1)))*(($B$4+A160)-INDEX($I$11:$I$33,MATCH(($B$4+A160),$I$11:$I$33,1)))/(INDEX($I$11:$I$33,MATCH(($B$4+A160),$I$11:$I$33,1)+1)-INDEX($I$11:$I$33,MATCH(($B$4+A160),$I$11:$I$33,1))))))-(IF(($B$4+A160)&lt;=$L$11,$M$11,IF(($B$4+A160)&gt;=$L$12,$M$12,INDEX($M$11:$M$12,MATCH(($B$4+A160),$L$11:$L$12,1))+(INDEX($M$11:$M$12,MATCH(($B$4+A160),$L$11:$L$12,1)+1)-INDEX($M$11:$M$12,MATCH(($B$4+A160),$L$11:$L$12,1)))*(($B$4+A160)-INDEX($L$11:$L$12,MATCH(($B$4+A160),$L$11:$L$12,1)))/(INDEX($L$11:$L$12,MATCH(($B$4+A160),$L$11:$L$12,1)+1)-INDEX($L$11:$L$12,MATCH(($B$4+A160),$L$11:$L$12,1)))))))/(1-(IF(($B$4+A160)&lt;=$I$11,$J$11,IF(($B$4+A160)&gt;=$I$33,$J$33,INDEX($J$11:$J$33,MATCH(($B$4+A160),$I$11:$I$33,1))+(INDEX($J$11:$J$33,MATCH(($B$4+A160),$I$11:$I$33,1)+1)-INDEX($J$11:$J$33,MATCH(($B$4+A160),$I$11:$I$33,1)))*(($B$4+A160)-INDEX($I$11:$I$33,MATCH(($B$4+A160),$I$11:$I$33,1)))/(INDEX($I$11:$I$33,MATCH(($B$4+A160),$I$11:$I$33,1)+1)-INDEX($I$11:$I$33,MATCH(($B$4+A160),$I$11:$I$33,1))))))),1)</f>
        <v>1</v>
      </c>
      <c r="D160" s="43" t="n">
        <f aca="false">B160*(1+$B$30)^(-A160)</f>
        <v>0.55928626114802</v>
      </c>
      <c r="E160" s="43" t="n">
        <f aca="false">B160*C160*(1+$B$5)^(-A160)</f>
        <v>1</v>
      </c>
      <c r="G160" s="32" t="n">
        <f aca="false">$B$31+0.125+100*0.25</f>
        <v>87.565</v>
      </c>
      <c r="H160" s="27" t="n">
        <f aca="false">IF(G160&lt;$B$33,1,0)</f>
        <v>0</v>
      </c>
      <c r="I160" s="43" t="n">
        <f aca="false">H160*(1-$B$6)^(G160-$B$31)*(1+$B$30)^(-G160)</f>
        <v>0</v>
      </c>
      <c r="J160" s="43" t="n">
        <f aca="false">H160*(1-$B$6)^(G160-$B$31)*L160*(1+$B$5)^(-G160)</f>
        <v>0</v>
      </c>
      <c r="L160" s="43" t="n">
        <f aca="false">IF($B$7="Oui",1-(IF(($B$4+G160)&lt;=$L$11,$M$11,IF(($B$4+G160)&gt;=$L$12,$M$12,INDEX($M$11:$M$12,MATCH(($B$4+G160),$L$11:$L$12,1))+(INDEX($M$11:$M$12,MATCH(($B$4+G160),$L$11:$L$12,1)+1)-INDEX($M$11:$M$12,MATCH(($B$4+G160),$L$11:$L$12,1)))*(($B$4+G160)-INDEX($L$11:$L$12,MATCH(($B$4+G160),$L$11:$L$12,1)))/(INDEX($L$11:$L$12,MATCH(($B$4+G160),$L$11:$L$12,1)+1)-INDEX($L$11:$L$12,MATCH(($B$4+G160),$L$11:$L$12,1)))))),1)</f>
        <v>1</v>
      </c>
    </row>
    <row r="161" customFormat="false" ht="15" hidden="false" customHeight="false" outlineLevel="0" collapsed="false">
      <c r="A161" s="32" t="n">
        <f aca="false">$B$32+0.125+101*0.25</f>
        <v>48.485</v>
      </c>
      <c r="B161" s="27" t="n">
        <f aca="false">IF(A161&lt;$B$31,1,0)</f>
        <v>1</v>
      </c>
      <c r="C161" s="43" t="n">
        <f aca="false">IF($B$7="Oui",1+((IF(($B$4+A161)&lt;=$I$11,$J$11,IF(($B$4+A161)&gt;=$I$33,$J$33,INDEX($J$11:$J$33,MATCH(($B$4+A161),$I$11:$I$33,1))+(INDEX($J$11:$J$33,MATCH(($B$4+A161),$I$11:$I$33,1)+1)-INDEX($J$11:$J$33,MATCH(($B$4+A161),$I$11:$I$33,1)))*(($B$4+A161)-INDEX($I$11:$I$33,MATCH(($B$4+A161),$I$11:$I$33,1)))/(INDEX($I$11:$I$33,MATCH(($B$4+A161),$I$11:$I$33,1)+1)-INDEX($I$11:$I$33,MATCH(($B$4+A161),$I$11:$I$33,1))))))-(IF(($B$4+A161)&lt;=$L$11,$M$11,IF(($B$4+A161)&gt;=$L$12,$M$12,INDEX($M$11:$M$12,MATCH(($B$4+A161),$L$11:$L$12,1))+(INDEX($M$11:$M$12,MATCH(($B$4+A161),$L$11:$L$12,1)+1)-INDEX($M$11:$M$12,MATCH(($B$4+A161),$L$11:$L$12,1)))*(($B$4+A161)-INDEX($L$11:$L$12,MATCH(($B$4+A161),$L$11:$L$12,1)))/(INDEX($L$11:$L$12,MATCH(($B$4+A161),$L$11:$L$12,1)+1)-INDEX($L$11:$L$12,MATCH(($B$4+A161),$L$11:$L$12,1)))))))/(1-(IF(($B$4+A161)&lt;=$I$11,$J$11,IF(($B$4+A161)&gt;=$I$33,$J$33,INDEX($J$11:$J$33,MATCH(($B$4+A161),$I$11:$I$33,1))+(INDEX($J$11:$J$33,MATCH(($B$4+A161),$I$11:$I$33,1)+1)-INDEX($J$11:$J$33,MATCH(($B$4+A161),$I$11:$I$33,1)))*(($B$4+A161)-INDEX($I$11:$I$33,MATCH(($B$4+A161),$I$11:$I$33,1)))/(INDEX($I$11:$I$33,MATCH(($B$4+A161),$I$11:$I$33,1)+1)-INDEX($I$11:$I$33,MATCH(($B$4+A161),$I$11:$I$33,1))))))),1)</f>
        <v>1</v>
      </c>
      <c r="D161" s="43" t="n">
        <f aca="false">B161*(1+$B$30)^(-A161)</f>
        <v>0.557604345104971</v>
      </c>
      <c r="E161" s="43" t="n">
        <f aca="false">B161*C161*(1+$B$5)^(-A161)</f>
        <v>1</v>
      </c>
      <c r="G161" s="32" t="n">
        <f aca="false">$B$31+0.125+101*0.25</f>
        <v>87.815</v>
      </c>
      <c r="H161" s="27" t="n">
        <f aca="false">IF(G161&lt;$B$33,1,0)</f>
        <v>0</v>
      </c>
      <c r="I161" s="43" t="n">
        <f aca="false">H161*(1-$B$6)^(G161-$B$31)*(1+$B$30)^(-G161)</f>
        <v>0</v>
      </c>
      <c r="J161" s="43" t="n">
        <f aca="false">H161*(1-$B$6)^(G161-$B$31)*L161*(1+$B$5)^(-G161)</f>
        <v>0</v>
      </c>
      <c r="L161" s="43" t="n">
        <f aca="false">IF($B$7="Oui",1-(IF(($B$4+G161)&lt;=$L$11,$M$11,IF(($B$4+G161)&gt;=$L$12,$M$12,INDEX($M$11:$M$12,MATCH(($B$4+G161),$L$11:$L$12,1))+(INDEX($M$11:$M$12,MATCH(($B$4+G161),$L$11:$L$12,1)+1)-INDEX($M$11:$M$12,MATCH(($B$4+G161),$L$11:$L$12,1)))*(($B$4+G161)-INDEX($L$11:$L$12,MATCH(($B$4+G161),$L$11:$L$12,1)))/(INDEX($L$11:$L$12,MATCH(($B$4+G161),$L$11:$L$12,1)+1)-INDEX($L$11:$L$12,MATCH(($B$4+G161),$L$11:$L$12,1)))))),1)</f>
        <v>1</v>
      </c>
    </row>
    <row r="162" customFormat="false" ht="15" hidden="false" customHeight="false" outlineLevel="0" collapsed="false">
      <c r="A162" s="32" t="n">
        <f aca="false">$B$32+0.125+102*0.25</f>
        <v>48.735</v>
      </c>
      <c r="B162" s="27" t="n">
        <f aca="false">IF(A162&lt;$B$31,1,0)</f>
        <v>1</v>
      </c>
      <c r="C162" s="43" t="n">
        <f aca="false">IF($B$7="Oui",1+((IF(($B$4+A162)&lt;=$I$11,$J$11,IF(($B$4+A162)&gt;=$I$33,$J$33,INDEX($J$11:$J$33,MATCH(($B$4+A162),$I$11:$I$33,1))+(INDEX($J$11:$J$33,MATCH(($B$4+A162),$I$11:$I$33,1)+1)-INDEX($J$11:$J$33,MATCH(($B$4+A162),$I$11:$I$33,1)))*(($B$4+A162)-INDEX($I$11:$I$33,MATCH(($B$4+A162),$I$11:$I$33,1)))/(INDEX($I$11:$I$33,MATCH(($B$4+A162),$I$11:$I$33,1)+1)-INDEX($I$11:$I$33,MATCH(($B$4+A162),$I$11:$I$33,1))))))-(IF(($B$4+A162)&lt;=$L$11,$M$11,IF(($B$4+A162)&gt;=$L$12,$M$12,INDEX($M$11:$M$12,MATCH(($B$4+A162),$L$11:$L$12,1))+(INDEX($M$11:$M$12,MATCH(($B$4+A162),$L$11:$L$12,1)+1)-INDEX($M$11:$M$12,MATCH(($B$4+A162),$L$11:$L$12,1)))*(($B$4+A162)-INDEX($L$11:$L$12,MATCH(($B$4+A162),$L$11:$L$12,1)))/(INDEX($L$11:$L$12,MATCH(($B$4+A162),$L$11:$L$12,1)+1)-INDEX($L$11:$L$12,MATCH(($B$4+A162),$L$11:$L$12,1)))))))/(1-(IF(($B$4+A162)&lt;=$I$11,$J$11,IF(($B$4+A162)&gt;=$I$33,$J$33,INDEX($J$11:$J$33,MATCH(($B$4+A162),$I$11:$I$33,1))+(INDEX($J$11:$J$33,MATCH(($B$4+A162),$I$11:$I$33,1)+1)-INDEX($J$11:$J$33,MATCH(($B$4+A162),$I$11:$I$33,1)))*(($B$4+A162)-INDEX($I$11:$I$33,MATCH(($B$4+A162),$I$11:$I$33,1)))/(INDEX($I$11:$I$33,MATCH(($B$4+A162),$I$11:$I$33,1)+1)-INDEX($I$11:$I$33,MATCH(($B$4+A162),$I$11:$I$33,1))))))),1)</f>
        <v>1</v>
      </c>
      <c r="D162" s="43" t="n">
        <f aca="false">B162*(1+$B$30)^(-A162)</f>
        <v>0.555927487011263</v>
      </c>
      <c r="E162" s="43" t="n">
        <f aca="false">B162*C162*(1+$B$5)^(-A162)</f>
        <v>1</v>
      </c>
      <c r="G162" s="32" t="n">
        <f aca="false">$B$31+0.125+102*0.25</f>
        <v>88.065</v>
      </c>
      <c r="H162" s="27" t="n">
        <f aca="false">IF(G162&lt;$B$33,1,0)</f>
        <v>0</v>
      </c>
      <c r="I162" s="43" t="n">
        <f aca="false">H162*(1-$B$6)^(G162-$B$31)*(1+$B$30)^(-G162)</f>
        <v>0</v>
      </c>
      <c r="J162" s="43" t="n">
        <f aca="false">H162*(1-$B$6)^(G162-$B$31)*L162*(1+$B$5)^(-G162)</f>
        <v>0</v>
      </c>
      <c r="L162" s="43" t="n">
        <f aca="false">IF($B$7="Oui",1-(IF(($B$4+G162)&lt;=$L$11,$M$11,IF(($B$4+G162)&gt;=$L$12,$M$12,INDEX($M$11:$M$12,MATCH(($B$4+G162),$L$11:$L$12,1))+(INDEX($M$11:$M$12,MATCH(($B$4+G162),$L$11:$L$12,1)+1)-INDEX($M$11:$M$12,MATCH(($B$4+G162),$L$11:$L$12,1)))*(($B$4+G162)-INDEX($L$11:$L$12,MATCH(($B$4+G162),$L$11:$L$12,1)))/(INDEX($L$11:$L$12,MATCH(($B$4+G162),$L$11:$L$12,1)+1)-INDEX($L$11:$L$12,MATCH(($B$4+G162),$L$11:$L$12,1)))))),1)</f>
        <v>1</v>
      </c>
    </row>
    <row r="163" customFormat="false" ht="15" hidden="false" customHeight="false" outlineLevel="0" collapsed="false">
      <c r="A163" s="32" t="n">
        <f aca="false">$B$32+0.125+103*0.25</f>
        <v>48.985</v>
      </c>
      <c r="B163" s="27" t="n">
        <f aca="false">IF(A163&lt;$B$31,1,0)</f>
        <v>1</v>
      </c>
      <c r="C163" s="43" t="n">
        <f aca="false">IF($B$7="Oui",1+((IF(($B$4+A163)&lt;=$I$11,$J$11,IF(($B$4+A163)&gt;=$I$33,$J$33,INDEX($J$11:$J$33,MATCH(($B$4+A163),$I$11:$I$33,1))+(INDEX($J$11:$J$33,MATCH(($B$4+A163),$I$11:$I$33,1)+1)-INDEX($J$11:$J$33,MATCH(($B$4+A163),$I$11:$I$33,1)))*(($B$4+A163)-INDEX($I$11:$I$33,MATCH(($B$4+A163),$I$11:$I$33,1)))/(INDEX($I$11:$I$33,MATCH(($B$4+A163),$I$11:$I$33,1)+1)-INDEX($I$11:$I$33,MATCH(($B$4+A163),$I$11:$I$33,1))))))-(IF(($B$4+A163)&lt;=$L$11,$M$11,IF(($B$4+A163)&gt;=$L$12,$M$12,INDEX($M$11:$M$12,MATCH(($B$4+A163),$L$11:$L$12,1))+(INDEX($M$11:$M$12,MATCH(($B$4+A163),$L$11:$L$12,1)+1)-INDEX($M$11:$M$12,MATCH(($B$4+A163),$L$11:$L$12,1)))*(($B$4+A163)-INDEX($L$11:$L$12,MATCH(($B$4+A163),$L$11:$L$12,1)))/(INDEX($L$11:$L$12,MATCH(($B$4+A163),$L$11:$L$12,1)+1)-INDEX($L$11:$L$12,MATCH(($B$4+A163),$L$11:$L$12,1)))))))/(1-(IF(($B$4+A163)&lt;=$I$11,$J$11,IF(($B$4+A163)&gt;=$I$33,$J$33,INDEX($J$11:$J$33,MATCH(($B$4+A163),$I$11:$I$33,1))+(INDEX($J$11:$J$33,MATCH(($B$4+A163),$I$11:$I$33,1)+1)-INDEX($J$11:$J$33,MATCH(($B$4+A163),$I$11:$I$33,1)))*(($B$4+A163)-INDEX($I$11:$I$33,MATCH(($B$4+A163),$I$11:$I$33,1)))/(INDEX($I$11:$I$33,MATCH(($B$4+A163),$I$11:$I$33,1)+1)-INDEX($I$11:$I$33,MATCH(($B$4+A163),$I$11:$I$33,1))))))),1)</f>
        <v>1</v>
      </c>
      <c r="D163" s="43" t="n">
        <f aca="false">B163*(1+$B$30)^(-A163)</f>
        <v>0.554255671656355</v>
      </c>
      <c r="E163" s="43" t="n">
        <f aca="false">B163*C163*(1+$B$5)^(-A163)</f>
        <v>1</v>
      </c>
      <c r="G163" s="32" t="n">
        <f aca="false">$B$31+0.125+103*0.25</f>
        <v>88.315</v>
      </c>
      <c r="H163" s="27" t="n">
        <f aca="false">IF(G163&lt;$B$33,1,0)</f>
        <v>0</v>
      </c>
      <c r="I163" s="43" t="n">
        <f aca="false">H163*(1-$B$6)^(G163-$B$31)*(1+$B$30)^(-G163)</f>
        <v>0</v>
      </c>
      <c r="J163" s="43" t="n">
        <f aca="false">H163*(1-$B$6)^(G163-$B$31)*L163*(1+$B$5)^(-G163)</f>
        <v>0</v>
      </c>
      <c r="L163" s="43" t="n">
        <f aca="false">IF($B$7="Oui",1-(IF(($B$4+G163)&lt;=$L$11,$M$11,IF(($B$4+G163)&gt;=$L$12,$M$12,INDEX($M$11:$M$12,MATCH(($B$4+G163),$L$11:$L$12,1))+(INDEX($M$11:$M$12,MATCH(($B$4+G163),$L$11:$L$12,1)+1)-INDEX($M$11:$M$12,MATCH(($B$4+G163),$L$11:$L$12,1)))*(($B$4+G163)-INDEX($L$11:$L$12,MATCH(($B$4+G163),$L$11:$L$12,1)))/(INDEX($L$11:$L$12,MATCH(($B$4+G163),$L$11:$L$12,1)+1)-INDEX($L$11:$L$12,MATCH(($B$4+G163),$L$11:$L$12,1)))))),1)</f>
        <v>1</v>
      </c>
    </row>
    <row r="164" customFormat="false" ht="15" hidden="false" customHeight="false" outlineLevel="0" collapsed="false">
      <c r="A164" s="32" t="n">
        <f aca="false">$B$32+0.125+104*0.25</f>
        <v>49.235</v>
      </c>
      <c r="B164" s="27" t="n">
        <f aca="false">IF(A164&lt;$B$31,1,0)</f>
        <v>1</v>
      </c>
      <c r="C164" s="43" t="n">
        <f aca="false">IF($B$7="Oui",1+((IF(($B$4+A164)&lt;=$I$11,$J$11,IF(($B$4+A164)&gt;=$I$33,$J$33,INDEX($J$11:$J$33,MATCH(($B$4+A164),$I$11:$I$33,1))+(INDEX($J$11:$J$33,MATCH(($B$4+A164),$I$11:$I$33,1)+1)-INDEX($J$11:$J$33,MATCH(($B$4+A164),$I$11:$I$33,1)))*(($B$4+A164)-INDEX($I$11:$I$33,MATCH(($B$4+A164),$I$11:$I$33,1)))/(INDEX($I$11:$I$33,MATCH(($B$4+A164),$I$11:$I$33,1)+1)-INDEX($I$11:$I$33,MATCH(($B$4+A164),$I$11:$I$33,1))))))-(IF(($B$4+A164)&lt;=$L$11,$M$11,IF(($B$4+A164)&gt;=$L$12,$M$12,INDEX($M$11:$M$12,MATCH(($B$4+A164),$L$11:$L$12,1))+(INDEX($M$11:$M$12,MATCH(($B$4+A164),$L$11:$L$12,1)+1)-INDEX($M$11:$M$12,MATCH(($B$4+A164),$L$11:$L$12,1)))*(($B$4+A164)-INDEX($L$11:$L$12,MATCH(($B$4+A164),$L$11:$L$12,1)))/(INDEX($L$11:$L$12,MATCH(($B$4+A164),$L$11:$L$12,1)+1)-INDEX($L$11:$L$12,MATCH(($B$4+A164),$L$11:$L$12,1)))))))/(1-(IF(($B$4+A164)&lt;=$I$11,$J$11,IF(($B$4+A164)&gt;=$I$33,$J$33,INDEX($J$11:$J$33,MATCH(($B$4+A164),$I$11:$I$33,1))+(INDEX($J$11:$J$33,MATCH(($B$4+A164),$I$11:$I$33,1)+1)-INDEX($J$11:$J$33,MATCH(($B$4+A164),$I$11:$I$33,1)))*(($B$4+A164)-INDEX($I$11:$I$33,MATCH(($B$4+A164),$I$11:$I$33,1)))/(INDEX($I$11:$I$33,MATCH(($B$4+A164),$I$11:$I$33,1)+1)-INDEX($I$11:$I$33,MATCH(($B$4+A164),$I$11:$I$33,1))))))),1)</f>
        <v>1</v>
      </c>
      <c r="D164" s="43" t="n">
        <f aca="false">B164*(1+$B$30)^(-A164)</f>
        <v>0.55258888387545</v>
      </c>
      <c r="E164" s="43" t="n">
        <f aca="false">B164*C164*(1+$B$5)^(-A164)</f>
        <v>1</v>
      </c>
      <c r="G164" s="32" t="n">
        <f aca="false">$B$31+0.125+104*0.25</f>
        <v>88.565</v>
      </c>
      <c r="H164" s="27" t="n">
        <f aca="false">IF(G164&lt;$B$33,1,0)</f>
        <v>0</v>
      </c>
      <c r="I164" s="43" t="n">
        <f aca="false">H164*(1-$B$6)^(G164-$B$31)*(1+$B$30)^(-G164)</f>
        <v>0</v>
      </c>
      <c r="J164" s="43" t="n">
        <f aca="false">H164*(1-$B$6)^(G164-$B$31)*L164*(1+$B$5)^(-G164)</f>
        <v>0</v>
      </c>
      <c r="L164" s="43" t="n">
        <f aca="false">IF($B$7="Oui",1-(IF(($B$4+G164)&lt;=$L$11,$M$11,IF(($B$4+G164)&gt;=$L$12,$M$12,INDEX($M$11:$M$12,MATCH(($B$4+G164),$L$11:$L$12,1))+(INDEX($M$11:$M$12,MATCH(($B$4+G164),$L$11:$L$12,1)+1)-INDEX($M$11:$M$12,MATCH(($B$4+G164),$L$11:$L$12,1)))*(($B$4+G164)-INDEX($L$11:$L$12,MATCH(($B$4+G164),$L$11:$L$12,1)))/(INDEX($L$11:$L$12,MATCH(($B$4+G164),$L$11:$L$12,1)+1)-INDEX($L$11:$L$12,MATCH(($B$4+G164),$L$11:$L$12,1)))))),1)</f>
        <v>1</v>
      </c>
    </row>
    <row r="165" customFormat="false" ht="15" hidden="false" customHeight="false" outlineLevel="0" collapsed="false">
      <c r="A165" s="32" t="n">
        <f aca="false">$B$32+0.125+105*0.25</f>
        <v>49.485</v>
      </c>
      <c r="B165" s="27" t="n">
        <f aca="false">IF(A165&lt;$B$31,1,0)</f>
        <v>1</v>
      </c>
      <c r="C165" s="43" t="n">
        <f aca="false">IF($B$7="Oui",1+((IF(($B$4+A165)&lt;=$I$11,$J$11,IF(($B$4+A165)&gt;=$I$33,$J$33,INDEX($J$11:$J$33,MATCH(($B$4+A165),$I$11:$I$33,1))+(INDEX($J$11:$J$33,MATCH(($B$4+A165),$I$11:$I$33,1)+1)-INDEX($J$11:$J$33,MATCH(($B$4+A165),$I$11:$I$33,1)))*(($B$4+A165)-INDEX($I$11:$I$33,MATCH(($B$4+A165),$I$11:$I$33,1)))/(INDEX($I$11:$I$33,MATCH(($B$4+A165),$I$11:$I$33,1)+1)-INDEX($I$11:$I$33,MATCH(($B$4+A165),$I$11:$I$33,1))))))-(IF(($B$4+A165)&lt;=$L$11,$M$11,IF(($B$4+A165)&gt;=$L$12,$M$12,INDEX($M$11:$M$12,MATCH(($B$4+A165),$L$11:$L$12,1))+(INDEX($M$11:$M$12,MATCH(($B$4+A165),$L$11:$L$12,1)+1)-INDEX($M$11:$M$12,MATCH(($B$4+A165),$L$11:$L$12,1)))*(($B$4+A165)-INDEX($L$11:$L$12,MATCH(($B$4+A165),$L$11:$L$12,1)))/(INDEX($L$11:$L$12,MATCH(($B$4+A165),$L$11:$L$12,1)+1)-INDEX($L$11:$L$12,MATCH(($B$4+A165),$L$11:$L$12,1)))))))/(1-(IF(($B$4+A165)&lt;=$I$11,$J$11,IF(($B$4+A165)&gt;=$I$33,$J$33,INDEX($J$11:$J$33,MATCH(($B$4+A165),$I$11:$I$33,1))+(INDEX($J$11:$J$33,MATCH(($B$4+A165),$I$11:$I$33,1)+1)-INDEX($J$11:$J$33,MATCH(($B$4+A165),$I$11:$I$33,1)))*(($B$4+A165)-INDEX($I$11:$I$33,MATCH(($B$4+A165),$I$11:$I$33,1)))/(INDEX($I$11:$I$33,MATCH(($B$4+A165),$I$11:$I$33,1)+1)-INDEX($I$11:$I$33,MATCH(($B$4+A165),$I$11:$I$33,1))))))),1)</f>
        <v>1</v>
      </c>
      <c r="D165" s="43" t="n">
        <f aca="false">B165*(1+$B$30)^(-A165)</f>
        <v>0.550927108549353</v>
      </c>
      <c r="E165" s="43" t="n">
        <f aca="false">B165*C165*(1+$B$5)^(-A165)</f>
        <v>1</v>
      </c>
      <c r="G165" s="32" t="n">
        <f aca="false">$B$31+0.125+105*0.25</f>
        <v>88.815</v>
      </c>
      <c r="H165" s="27" t="n">
        <f aca="false">IF(G165&lt;$B$33,1,0)</f>
        <v>0</v>
      </c>
      <c r="I165" s="43" t="n">
        <f aca="false">H165*(1-$B$6)^(G165-$B$31)*(1+$B$30)^(-G165)</f>
        <v>0</v>
      </c>
      <c r="J165" s="43" t="n">
        <f aca="false">H165*(1-$B$6)^(G165-$B$31)*L165*(1+$B$5)^(-G165)</f>
        <v>0</v>
      </c>
      <c r="L165" s="43" t="n">
        <f aca="false">IF($B$7="Oui",1-(IF(($B$4+G165)&lt;=$L$11,$M$11,IF(($B$4+G165)&gt;=$L$12,$M$12,INDEX($M$11:$M$12,MATCH(($B$4+G165),$L$11:$L$12,1))+(INDEX($M$11:$M$12,MATCH(($B$4+G165),$L$11:$L$12,1)+1)-INDEX($M$11:$M$12,MATCH(($B$4+G165),$L$11:$L$12,1)))*(($B$4+G165)-INDEX($L$11:$L$12,MATCH(($B$4+G165),$L$11:$L$12,1)))/(INDEX($L$11:$L$12,MATCH(($B$4+G165),$L$11:$L$12,1)+1)-INDEX($L$11:$L$12,MATCH(($B$4+G165),$L$11:$L$12,1)))))),1)</f>
        <v>1</v>
      </c>
    </row>
    <row r="166" customFormat="false" ht="15" hidden="false" customHeight="false" outlineLevel="0" collapsed="false">
      <c r="A166" s="32" t="n">
        <f aca="false">$B$32+0.125+106*0.25</f>
        <v>49.735</v>
      </c>
      <c r="B166" s="27" t="n">
        <f aca="false">IF(A166&lt;$B$31,1,0)</f>
        <v>1</v>
      </c>
      <c r="C166" s="43" t="n">
        <f aca="false">IF($B$7="Oui",1+((IF(($B$4+A166)&lt;=$I$11,$J$11,IF(($B$4+A166)&gt;=$I$33,$J$33,INDEX($J$11:$J$33,MATCH(($B$4+A166),$I$11:$I$33,1))+(INDEX($J$11:$J$33,MATCH(($B$4+A166),$I$11:$I$33,1)+1)-INDEX($J$11:$J$33,MATCH(($B$4+A166),$I$11:$I$33,1)))*(($B$4+A166)-INDEX($I$11:$I$33,MATCH(($B$4+A166),$I$11:$I$33,1)))/(INDEX($I$11:$I$33,MATCH(($B$4+A166),$I$11:$I$33,1)+1)-INDEX($I$11:$I$33,MATCH(($B$4+A166),$I$11:$I$33,1))))))-(IF(($B$4+A166)&lt;=$L$11,$M$11,IF(($B$4+A166)&gt;=$L$12,$M$12,INDEX($M$11:$M$12,MATCH(($B$4+A166),$L$11:$L$12,1))+(INDEX($M$11:$M$12,MATCH(($B$4+A166),$L$11:$L$12,1)+1)-INDEX($M$11:$M$12,MATCH(($B$4+A166),$L$11:$L$12,1)))*(($B$4+A166)-INDEX($L$11:$L$12,MATCH(($B$4+A166),$L$11:$L$12,1)))/(INDEX($L$11:$L$12,MATCH(($B$4+A166),$L$11:$L$12,1)+1)-INDEX($L$11:$L$12,MATCH(($B$4+A166),$L$11:$L$12,1)))))))/(1-(IF(($B$4+A166)&lt;=$I$11,$J$11,IF(($B$4+A166)&gt;=$I$33,$J$33,INDEX($J$11:$J$33,MATCH(($B$4+A166),$I$11:$I$33,1))+(INDEX($J$11:$J$33,MATCH(($B$4+A166),$I$11:$I$33,1)+1)-INDEX($J$11:$J$33,MATCH(($B$4+A166),$I$11:$I$33,1)))*(($B$4+A166)-INDEX($I$11:$I$33,MATCH(($B$4+A166),$I$11:$I$33,1)))/(INDEX($I$11:$I$33,MATCH(($B$4+A166),$I$11:$I$33,1)+1)-INDEX($I$11:$I$33,MATCH(($B$4+A166),$I$11:$I$33,1))))))),1)</f>
        <v>1</v>
      </c>
      <c r="D166" s="43" t="n">
        <f aca="false">B166*(1+$B$30)^(-A166)</f>
        <v>0.549270330604338</v>
      </c>
      <c r="E166" s="43" t="n">
        <f aca="false">B166*C166*(1+$B$5)^(-A166)</f>
        <v>1</v>
      </c>
      <c r="G166" s="32" t="n">
        <f aca="false">$B$31+0.125+106*0.25</f>
        <v>89.065</v>
      </c>
      <c r="H166" s="27" t="n">
        <f aca="false">IF(G166&lt;$B$33,1,0)</f>
        <v>0</v>
      </c>
      <c r="I166" s="43" t="n">
        <f aca="false">H166*(1-$B$6)^(G166-$B$31)*(1+$B$30)^(-G166)</f>
        <v>0</v>
      </c>
      <c r="J166" s="43" t="n">
        <f aca="false">H166*(1-$B$6)^(G166-$B$31)*L166*(1+$B$5)^(-G166)</f>
        <v>0</v>
      </c>
      <c r="L166" s="43" t="n">
        <f aca="false">IF($B$7="Oui",1-(IF(($B$4+G166)&lt;=$L$11,$M$11,IF(($B$4+G166)&gt;=$L$12,$M$12,INDEX($M$11:$M$12,MATCH(($B$4+G166),$L$11:$L$12,1))+(INDEX($M$11:$M$12,MATCH(($B$4+G166),$L$11:$L$12,1)+1)-INDEX($M$11:$M$12,MATCH(($B$4+G166),$L$11:$L$12,1)))*(($B$4+G166)-INDEX($L$11:$L$12,MATCH(($B$4+G166),$L$11:$L$12,1)))/(INDEX($L$11:$L$12,MATCH(($B$4+G166),$L$11:$L$12,1)+1)-INDEX($L$11:$L$12,MATCH(($B$4+G166),$L$11:$L$12,1)))))),1)</f>
        <v>1</v>
      </c>
    </row>
    <row r="167" customFormat="false" ht="15" hidden="false" customHeight="false" outlineLevel="0" collapsed="false">
      <c r="A167" s="32" t="n">
        <f aca="false">$B$32+0.125+107*0.25</f>
        <v>49.985</v>
      </c>
      <c r="B167" s="27" t="n">
        <f aca="false">IF(A167&lt;$B$31,1,0)</f>
        <v>1</v>
      </c>
      <c r="C167" s="43" t="n">
        <f aca="false">IF($B$7="Oui",1+((IF(($B$4+A167)&lt;=$I$11,$J$11,IF(($B$4+A167)&gt;=$I$33,$J$33,INDEX($J$11:$J$33,MATCH(($B$4+A167),$I$11:$I$33,1))+(INDEX($J$11:$J$33,MATCH(($B$4+A167),$I$11:$I$33,1)+1)-INDEX($J$11:$J$33,MATCH(($B$4+A167),$I$11:$I$33,1)))*(($B$4+A167)-INDEX($I$11:$I$33,MATCH(($B$4+A167),$I$11:$I$33,1)))/(INDEX($I$11:$I$33,MATCH(($B$4+A167),$I$11:$I$33,1)+1)-INDEX($I$11:$I$33,MATCH(($B$4+A167),$I$11:$I$33,1))))))-(IF(($B$4+A167)&lt;=$L$11,$M$11,IF(($B$4+A167)&gt;=$L$12,$M$12,INDEX($M$11:$M$12,MATCH(($B$4+A167),$L$11:$L$12,1))+(INDEX($M$11:$M$12,MATCH(($B$4+A167),$L$11:$L$12,1)+1)-INDEX($M$11:$M$12,MATCH(($B$4+A167),$L$11:$L$12,1)))*(($B$4+A167)-INDEX($L$11:$L$12,MATCH(($B$4+A167),$L$11:$L$12,1)))/(INDEX($L$11:$L$12,MATCH(($B$4+A167),$L$11:$L$12,1)+1)-INDEX($L$11:$L$12,MATCH(($B$4+A167),$L$11:$L$12,1)))))))/(1-(IF(($B$4+A167)&lt;=$I$11,$J$11,IF(($B$4+A167)&gt;=$I$33,$J$33,INDEX($J$11:$J$33,MATCH(($B$4+A167),$I$11:$I$33,1))+(INDEX($J$11:$J$33,MATCH(($B$4+A167),$I$11:$I$33,1)+1)-INDEX($J$11:$J$33,MATCH(($B$4+A167),$I$11:$I$33,1)))*(($B$4+A167)-INDEX($I$11:$I$33,MATCH(($B$4+A167),$I$11:$I$33,1)))/(INDEX($I$11:$I$33,MATCH(($B$4+A167),$I$11:$I$33,1)+1)-INDEX($I$11:$I$33,MATCH(($B$4+A167),$I$11:$I$33,1))))))),1)</f>
        <v>1</v>
      </c>
      <c r="D167" s="43" t="n">
        <f aca="false">B167*(1+$B$30)^(-A167)</f>
        <v>0.547618535012009</v>
      </c>
      <c r="E167" s="43" t="n">
        <f aca="false">B167*C167*(1+$B$5)^(-A167)</f>
        <v>1</v>
      </c>
      <c r="G167" s="32" t="n">
        <f aca="false">$B$31+0.125+107*0.25</f>
        <v>89.315</v>
      </c>
      <c r="H167" s="27" t="n">
        <f aca="false">IF(G167&lt;$B$33,1,0)</f>
        <v>0</v>
      </c>
      <c r="I167" s="43" t="n">
        <f aca="false">H167*(1-$B$6)^(G167-$B$31)*(1+$B$30)^(-G167)</f>
        <v>0</v>
      </c>
      <c r="J167" s="43" t="n">
        <f aca="false">H167*(1-$B$6)^(G167-$B$31)*L167*(1+$B$5)^(-G167)</f>
        <v>0</v>
      </c>
      <c r="L167" s="43" t="n">
        <f aca="false">IF($B$7="Oui",1-(IF(($B$4+G167)&lt;=$L$11,$M$11,IF(($B$4+G167)&gt;=$L$12,$M$12,INDEX($M$11:$M$12,MATCH(($B$4+G167),$L$11:$L$12,1))+(INDEX($M$11:$M$12,MATCH(($B$4+G167),$L$11:$L$12,1)+1)-INDEX($M$11:$M$12,MATCH(($B$4+G167),$L$11:$L$12,1)))*(($B$4+G167)-INDEX($L$11:$L$12,MATCH(($B$4+G167),$L$11:$L$12,1)))/(INDEX($L$11:$L$12,MATCH(($B$4+G167),$L$11:$L$12,1)+1)-INDEX($L$11:$L$12,MATCH(($B$4+G167),$L$11:$L$12,1)))))),1)</f>
        <v>1</v>
      </c>
    </row>
    <row r="168" customFormat="false" ht="15" hidden="false" customHeight="false" outlineLevel="0" collapsed="false">
      <c r="A168" s="32" t="n">
        <f aca="false">$B$32+0.125+108*0.25</f>
        <v>50.235</v>
      </c>
      <c r="B168" s="27" t="n">
        <f aca="false">IF(A168&lt;$B$31,1,0)</f>
        <v>1</v>
      </c>
      <c r="C168" s="43" t="n">
        <f aca="false">IF($B$7="Oui",1+((IF(($B$4+A168)&lt;=$I$11,$J$11,IF(($B$4+A168)&gt;=$I$33,$J$33,INDEX($J$11:$J$33,MATCH(($B$4+A168),$I$11:$I$33,1))+(INDEX($J$11:$J$33,MATCH(($B$4+A168),$I$11:$I$33,1)+1)-INDEX($J$11:$J$33,MATCH(($B$4+A168),$I$11:$I$33,1)))*(($B$4+A168)-INDEX($I$11:$I$33,MATCH(($B$4+A168),$I$11:$I$33,1)))/(INDEX($I$11:$I$33,MATCH(($B$4+A168),$I$11:$I$33,1)+1)-INDEX($I$11:$I$33,MATCH(($B$4+A168),$I$11:$I$33,1))))))-(IF(($B$4+A168)&lt;=$L$11,$M$11,IF(($B$4+A168)&gt;=$L$12,$M$12,INDEX($M$11:$M$12,MATCH(($B$4+A168),$L$11:$L$12,1))+(INDEX($M$11:$M$12,MATCH(($B$4+A168),$L$11:$L$12,1)+1)-INDEX($M$11:$M$12,MATCH(($B$4+A168),$L$11:$L$12,1)))*(($B$4+A168)-INDEX($L$11:$L$12,MATCH(($B$4+A168),$L$11:$L$12,1)))/(INDEX($L$11:$L$12,MATCH(($B$4+A168),$L$11:$L$12,1)+1)-INDEX($L$11:$L$12,MATCH(($B$4+A168),$L$11:$L$12,1)))))))/(1-(IF(($B$4+A168)&lt;=$I$11,$J$11,IF(($B$4+A168)&gt;=$I$33,$J$33,INDEX($J$11:$J$33,MATCH(($B$4+A168),$I$11:$I$33,1))+(INDEX($J$11:$J$33,MATCH(($B$4+A168),$I$11:$I$33,1)+1)-INDEX($J$11:$J$33,MATCH(($B$4+A168),$I$11:$I$33,1)))*(($B$4+A168)-INDEX($I$11:$I$33,MATCH(($B$4+A168),$I$11:$I$33,1)))/(INDEX($I$11:$I$33,MATCH(($B$4+A168),$I$11:$I$33,1)+1)-INDEX($I$11:$I$33,MATCH(($B$4+A168),$I$11:$I$33,1))))))),1)</f>
        <v>1</v>
      </c>
      <c r="D168" s="43" t="n">
        <f aca="false">B168*(1+$B$30)^(-A168)</f>
        <v>0.545971706789165</v>
      </c>
      <c r="E168" s="43" t="n">
        <f aca="false">B168*C168*(1+$B$5)^(-A168)</f>
        <v>1</v>
      </c>
      <c r="G168" s="32" t="n">
        <f aca="false">$B$31+0.125+108*0.25</f>
        <v>89.565</v>
      </c>
      <c r="H168" s="27" t="n">
        <f aca="false">IF(G168&lt;$B$33,1,0)</f>
        <v>0</v>
      </c>
      <c r="I168" s="43" t="n">
        <f aca="false">H168*(1-$B$6)^(G168-$B$31)*(1+$B$30)^(-G168)</f>
        <v>0</v>
      </c>
      <c r="J168" s="43" t="n">
        <f aca="false">H168*(1-$B$6)^(G168-$B$31)*L168*(1+$B$5)^(-G168)</f>
        <v>0</v>
      </c>
      <c r="L168" s="43" t="n">
        <f aca="false">IF($B$7="Oui",1-(IF(($B$4+G168)&lt;=$L$11,$M$11,IF(($B$4+G168)&gt;=$L$12,$M$12,INDEX($M$11:$M$12,MATCH(($B$4+G168),$L$11:$L$12,1))+(INDEX($M$11:$M$12,MATCH(($B$4+G168),$L$11:$L$12,1)+1)-INDEX($M$11:$M$12,MATCH(($B$4+G168),$L$11:$L$12,1)))*(($B$4+G168)-INDEX($L$11:$L$12,MATCH(($B$4+G168),$L$11:$L$12,1)))/(INDEX($L$11:$L$12,MATCH(($B$4+G168),$L$11:$L$12,1)+1)-INDEX($L$11:$L$12,MATCH(($B$4+G168),$L$11:$L$12,1)))))),1)</f>
        <v>1</v>
      </c>
    </row>
    <row r="169" customFormat="false" ht="15" hidden="false" customHeight="false" outlineLevel="0" collapsed="false">
      <c r="A169" s="32" t="n">
        <f aca="false">$B$32+0.125+109*0.25</f>
        <v>50.485</v>
      </c>
      <c r="B169" s="27" t="n">
        <f aca="false">IF(A169&lt;$B$31,1,0)</f>
        <v>1</v>
      </c>
      <c r="C169" s="43" t="n">
        <f aca="false">IF($B$7="Oui",1+((IF(($B$4+A169)&lt;=$I$11,$J$11,IF(($B$4+A169)&gt;=$I$33,$J$33,INDEX($J$11:$J$33,MATCH(($B$4+A169),$I$11:$I$33,1))+(INDEX($J$11:$J$33,MATCH(($B$4+A169),$I$11:$I$33,1)+1)-INDEX($J$11:$J$33,MATCH(($B$4+A169),$I$11:$I$33,1)))*(($B$4+A169)-INDEX($I$11:$I$33,MATCH(($B$4+A169),$I$11:$I$33,1)))/(INDEX($I$11:$I$33,MATCH(($B$4+A169),$I$11:$I$33,1)+1)-INDEX($I$11:$I$33,MATCH(($B$4+A169),$I$11:$I$33,1))))))-(IF(($B$4+A169)&lt;=$L$11,$M$11,IF(($B$4+A169)&gt;=$L$12,$M$12,INDEX($M$11:$M$12,MATCH(($B$4+A169),$L$11:$L$12,1))+(INDEX($M$11:$M$12,MATCH(($B$4+A169),$L$11:$L$12,1)+1)-INDEX($M$11:$M$12,MATCH(($B$4+A169),$L$11:$L$12,1)))*(($B$4+A169)-INDEX($L$11:$L$12,MATCH(($B$4+A169),$L$11:$L$12,1)))/(INDEX($L$11:$L$12,MATCH(($B$4+A169),$L$11:$L$12,1)+1)-INDEX($L$11:$L$12,MATCH(($B$4+A169),$L$11:$L$12,1)))))))/(1-(IF(($B$4+A169)&lt;=$I$11,$J$11,IF(($B$4+A169)&gt;=$I$33,$J$33,INDEX($J$11:$J$33,MATCH(($B$4+A169),$I$11:$I$33,1))+(INDEX($J$11:$J$33,MATCH(($B$4+A169),$I$11:$I$33,1)+1)-INDEX($J$11:$J$33,MATCH(($B$4+A169),$I$11:$I$33,1)))*(($B$4+A169)-INDEX($I$11:$I$33,MATCH(($B$4+A169),$I$11:$I$33,1)))/(INDEX($I$11:$I$33,MATCH(($B$4+A169),$I$11:$I$33,1)+1)-INDEX($I$11:$I$33,MATCH(($B$4+A169),$I$11:$I$33,1))))))),1)</f>
        <v>1</v>
      </c>
      <c r="D169" s="43" t="n">
        <f aca="false">B169*(1+$B$30)^(-A169)</f>
        <v>0.544329830997661</v>
      </c>
      <c r="E169" s="43" t="n">
        <f aca="false">B169*C169*(1+$B$5)^(-A169)</f>
        <v>1</v>
      </c>
      <c r="G169" s="32" t="n">
        <f aca="false">$B$31+0.125+109*0.25</f>
        <v>89.815</v>
      </c>
      <c r="H169" s="27" t="n">
        <f aca="false">IF(G169&lt;$B$33,1,0)</f>
        <v>0</v>
      </c>
      <c r="I169" s="43" t="n">
        <f aca="false">H169*(1-$B$6)^(G169-$B$31)*(1+$B$30)^(-G169)</f>
        <v>0</v>
      </c>
      <c r="J169" s="43" t="n">
        <f aca="false">H169*(1-$B$6)^(G169-$B$31)*L169*(1+$B$5)^(-G169)</f>
        <v>0</v>
      </c>
      <c r="L169" s="43" t="n">
        <f aca="false">IF($B$7="Oui",1-(IF(($B$4+G169)&lt;=$L$11,$M$11,IF(($B$4+G169)&gt;=$L$12,$M$12,INDEX($M$11:$M$12,MATCH(($B$4+G169),$L$11:$L$12,1))+(INDEX($M$11:$M$12,MATCH(($B$4+G169),$L$11:$L$12,1)+1)-INDEX($M$11:$M$12,MATCH(($B$4+G169),$L$11:$L$12,1)))*(($B$4+G169)-INDEX($L$11:$L$12,MATCH(($B$4+G169),$L$11:$L$12,1)))/(INDEX($L$11:$L$12,MATCH(($B$4+G169),$L$11:$L$12,1)+1)-INDEX($L$11:$L$12,MATCH(($B$4+G169),$L$11:$L$12,1)))))),1)</f>
        <v>1</v>
      </c>
    </row>
    <row r="170" customFormat="false" ht="15" hidden="false" customHeight="false" outlineLevel="0" collapsed="false">
      <c r="A170" s="32" t="n">
        <f aca="false">$B$32+0.125+110*0.25</f>
        <v>50.735</v>
      </c>
      <c r="B170" s="27" t="n">
        <f aca="false">IF(A170&lt;$B$31,1,0)</f>
        <v>1</v>
      </c>
      <c r="C170" s="43" t="n">
        <f aca="false">IF($B$7="Oui",1+((IF(($B$4+A170)&lt;=$I$11,$J$11,IF(($B$4+A170)&gt;=$I$33,$J$33,INDEX($J$11:$J$33,MATCH(($B$4+A170),$I$11:$I$33,1))+(INDEX($J$11:$J$33,MATCH(($B$4+A170),$I$11:$I$33,1)+1)-INDEX($J$11:$J$33,MATCH(($B$4+A170),$I$11:$I$33,1)))*(($B$4+A170)-INDEX($I$11:$I$33,MATCH(($B$4+A170),$I$11:$I$33,1)))/(INDEX($I$11:$I$33,MATCH(($B$4+A170),$I$11:$I$33,1)+1)-INDEX($I$11:$I$33,MATCH(($B$4+A170),$I$11:$I$33,1))))))-(IF(($B$4+A170)&lt;=$L$11,$M$11,IF(($B$4+A170)&gt;=$L$12,$M$12,INDEX($M$11:$M$12,MATCH(($B$4+A170),$L$11:$L$12,1))+(INDEX($M$11:$M$12,MATCH(($B$4+A170),$L$11:$L$12,1)+1)-INDEX($M$11:$M$12,MATCH(($B$4+A170),$L$11:$L$12,1)))*(($B$4+A170)-INDEX($L$11:$L$12,MATCH(($B$4+A170),$L$11:$L$12,1)))/(INDEX($L$11:$L$12,MATCH(($B$4+A170),$L$11:$L$12,1)+1)-INDEX($L$11:$L$12,MATCH(($B$4+A170),$L$11:$L$12,1)))))))/(1-(IF(($B$4+A170)&lt;=$I$11,$J$11,IF(($B$4+A170)&gt;=$I$33,$J$33,INDEX($J$11:$J$33,MATCH(($B$4+A170),$I$11:$I$33,1))+(INDEX($J$11:$J$33,MATCH(($B$4+A170),$I$11:$I$33,1)+1)-INDEX($J$11:$J$33,MATCH(($B$4+A170),$I$11:$I$33,1)))*(($B$4+A170)-INDEX($I$11:$I$33,MATCH(($B$4+A170),$I$11:$I$33,1)))/(INDEX($I$11:$I$33,MATCH(($B$4+A170),$I$11:$I$33,1)+1)-INDEX($I$11:$I$33,MATCH(($B$4+A170),$I$11:$I$33,1))))))),1)</f>
        <v>1</v>
      </c>
      <c r="D170" s="43" t="n">
        <f aca="false">B170*(1+$B$30)^(-A170)</f>
        <v>0.542692892744278</v>
      </c>
      <c r="E170" s="43" t="n">
        <f aca="false">B170*C170*(1+$B$5)^(-A170)</f>
        <v>1</v>
      </c>
      <c r="G170" s="32" t="n">
        <f aca="false">$B$31+0.125+110*0.25</f>
        <v>90.065</v>
      </c>
      <c r="H170" s="27" t="n">
        <f aca="false">IF(G170&lt;$B$33,1,0)</f>
        <v>0</v>
      </c>
      <c r="I170" s="43" t="n">
        <f aca="false">H170*(1-$B$6)^(G170-$B$31)*(1+$B$30)^(-G170)</f>
        <v>0</v>
      </c>
      <c r="J170" s="43" t="n">
        <f aca="false">H170*(1-$B$6)^(G170-$B$31)*L170*(1+$B$5)^(-G170)</f>
        <v>0</v>
      </c>
      <c r="L170" s="43" t="n">
        <f aca="false">IF($B$7="Oui",1-(IF(($B$4+G170)&lt;=$L$11,$M$11,IF(($B$4+G170)&gt;=$L$12,$M$12,INDEX($M$11:$M$12,MATCH(($B$4+G170),$L$11:$L$12,1))+(INDEX($M$11:$M$12,MATCH(($B$4+G170),$L$11:$L$12,1)+1)-INDEX($M$11:$M$12,MATCH(($B$4+G170),$L$11:$L$12,1)))*(($B$4+G170)-INDEX($L$11:$L$12,MATCH(($B$4+G170),$L$11:$L$12,1)))/(INDEX($L$11:$L$12,MATCH(($B$4+G170),$L$11:$L$12,1)+1)-INDEX($L$11:$L$12,MATCH(($B$4+G170),$L$11:$L$12,1)))))),1)</f>
        <v>1</v>
      </c>
    </row>
    <row r="171" customFormat="false" ht="15" hidden="false" customHeight="false" outlineLevel="0" collapsed="false">
      <c r="A171" s="32" t="n">
        <f aca="false">$B$32+0.125+111*0.25</f>
        <v>50.985</v>
      </c>
      <c r="B171" s="27" t="n">
        <f aca="false">IF(A171&lt;$B$31,1,0)</f>
        <v>1</v>
      </c>
      <c r="C171" s="43" t="n">
        <f aca="false">IF($B$7="Oui",1+((IF(($B$4+A171)&lt;=$I$11,$J$11,IF(($B$4+A171)&gt;=$I$33,$J$33,INDEX($J$11:$J$33,MATCH(($B$4+A171),$I$11:$I$33,1))+(INDEX($J$11:$J$33,MATCH(($B$4+A171),$I$11:$I$33,1)+1)-INDEX($J$11:$J$33,MATCH(($B$4+A171),$I$11:$I$33,1)))*(($B$4+A171)-INDEX($I$11:$I$33,MATCH(($B$4+A171),$I$11:$I$33,1)))/(INDEX($I$11:$I$33,MATCH(($B$4+A171),$I$11:$I$33,1)+1)-INDEX($I$11:$I$33,MATCH(($B$4+A171),$I$11:$I$33,1))))))-(IF(($B$4+A171)&lt;=$L$11,$M$11,IF(($B$4+A171)&gt;=$L$12,$M$12,INDEX($M$11:$M$12,MATCH(($B$4+A171),$L$11:$L$12,1))+(INDEX($M$11:$M$12,MATCH(($B$4+A171),$L$11:$L$12,1)+1)-INDEX($M$11:$M$12,MATCH(($B$4+A171),$L$11:$L$12,1)))*(($B$4+A171)-INDEX($L$11:$L$12,MATCH(($B$4+A171),$L$11:$L$12,1)))/(INDEX($L$11:$L$12,MATCH(($B$4+A171),$L$11:$L$12,1)+1)-INDEX($L$11:$L$12,MATCH(($B$4+A171),$L$11:$L$12,1)))))))/(1-(IF(($B$4+A171)&lt;=$I$11,$J$11,IF(($B$4+A171)&gt;=$I$33,$J$33,INDEX($J$11:$J$33,MATCH(($B$4+A171),$I$11:$I$33,1))+(INDEX($J$11:$J$33,MATCH(($B$4+A171),$I$11:$I$33,1)+1)-INDEX($J$11:$J$33,MATCH(($B$4+A171),$I$11:$I$33,1)))*(($B$4+A171)-INDEX($I$11:$I$33,MATCH(($B$4+A171),$I$11:$I$33,1)))/(INDEX($I$11:$I$33,MATCH(($B$4+A171),$I$11:$I$33,1)+1)-INDEX($I$11:$I$33,MATCH(($B$4+A171),$I$11:$I$33,1))))))),1)</f>
        <v>1</v>
      </c>
      <c r="D171" s="43" t="n">
        <f aca="false">B171*(1+$B$30)^(-A171)</f>
        <v>0.541060877180581</v>
      </c>
      <c r="E171" s="43" t="n">
        <f aca="false">B171*C171*(1+$B$5)^(-A171)</f>
        <v>1</v>
      </c>
      <c r="G171" s="32" t="n">
        <f aca="false">$B$31+0.125+111*0.25</f>
        <v>90.315</v>
      </c>
      <c r="H171" s="27" t="n">
        <f aca="false">IF(G171&lt;$B$33,1,0)</f>
        <v>0</v>
      </c>
      <c r="I171" s="43" t="n">
        <f aca="false">H171*(1-$B$6)^(G171-$B$31)*(1+$B$30)^(-G171)</f>
        <v>0</v>
      </c>
      <c r="J171" s="43" t="n">
        <f aca="false">H171*(1-$B$6)^(G171-$B$31)*L171*(1+$B$5)^(-G171)</f>
        <v>0</v>
      </c>
      <c r="L171" s="43" t="n">
        <f aca="false">IF($B$7="Oui",1-(IF(($B$4+G171)&lt;=$L$11,$M$11,IF(($B$4+G171)&gt;=$L$12,$M$12,INDEX($M$11:$M$12,MATCH(($B$4+G171),$L$11:$L$12,1))+(INDEX($M$11:$M$12,MATCH(($B$4+G171),$L$11:$L$12,1)+1)-INDEX($M$11:$M$12,MATCH(($B$4+G171),$L$11:$L$12,1)))*(($B$4+G171)-INDEX($L$11:$L$12,MATCH(($B$4+G171),$L$11:$L$12,1)))/(INDEX($L$11:$L$12,MATCH(($B$4+G171),$L$11:$L$12,1)+1)-INDEX($L$11:$L$12,MATCH(($B$4+G171),$L$11:$L$12,1)))))),1)</f>
        <v>1</v>
      </c>
    </row>
    <row r="172" customFormat="false" ht="15" hidden="false" customHeight="false" outlineLevel="0" collapsed="false">
      <c r="A172" s="32" t="n">
        <f aca="false">$B$32+0.125+112*0.25</f>
        <v>51.235</v>
      </c>
      <c r="B172" s="27" t="n">
        <f aca="false">IF(A172&lt;$B$31,1,0)</f>
        <v>1</v>
      </c>
      <c r="C172" s="43" t="n">
        <f aca="false">IF($B$7="Oui",1+((IF(($B$4+A172)&lt;=$I$11,$J$11,IF(($B$4+A172)&gt;=$I$33,$J$33,INDEX($J$11:$J$33,MATCH(($B$4+A172),$I$11:$I$33,1))+(INDEX($J$11:$J$33,MATCH(($B$4+A172),$I$11:$I$33,1)+1)-INDEX($J$11:$J$33,MATCH(($B$4+A172),$I$11:$I$33,1)))*(($B$4+A172)-INDEX($I$11:$I$33,MATCH(($B$4+A172),$I$11:$I$33,1)))/(INDEX($I$11:$I$33,MATCH(($B$4+A172),$I$11:$I$33,1)+1)-INDEX($I$11:$I$33,MATCH(($B$4+A172),$I$11:$I$33,1))))))-(IF(($B$4+A172)&lt;=$L$11,$M$11,IF(($B$4+A172)&gt;=$L$12,$M$12,INDEX($M$11:$M$12,MATCH(($B$4+A172),$L$11:$L$12,1))+(INDEX($M$11:$M$12,MATCH(($B$4+A172),$L$11:$L$12,1)+1)-INDEX($M$11:$M$12,MATCH(($B$4+A172),$L$11:$L$12,1)))*(($B$4+A172)-INDEX($L$11:$L$12,MATCH(($B$4+A172),$L$11:$L$12,1)))/(INDEX($L$11:$L$12,MATCH(($B$4+A172),$L$11:$L$12,1)+1)-INDEX($L$11:$L$12,MATCH(($B$4+A172),$L$11:$L$12,1)))))))/(1-(IF(($B$4+A172)&lt;=$I$11,$J$11,IF(($B$4+A172)&gt;=$I$33,$J$33,INDEX($J$11:$J$33,MATCH(($B$4+A172),$I$11:$I$33,1))+(INDEX($J$11:$J$33,MATCH(($B$4+A172),$I$11:$I$33,1)+1)-INDEX($J$11:$J$33,MATCH(($B$4+A172),$I$11:$I$33,1)))*(($B$4+A172)-INDEX($I$11:$I$33,MATCH(($B$4+A172),$I$11:$I$33,1)))/(INDEX($I$11:$I$33,MATCH(($B$4+A172),$I$11:$I$33,1)+1)-INDEX($I$11:$I$33,MATCH(($B$4+A172),$I$11:$I$33,1))))))),1)</f>
        <v>1</v>
      </c>
      <c r="D172" s="43" t="n">
        <f aca="false">B172*(1+$B$30)^(-A172)</f>
        <v>0.539433769502791</v>
      </c>
      <c r="E172" s="43" t="n">
        <f aca="false">B172*C172*(1+$B$5)^(-A172)</f>
        <v>1</v>
      </c>
      <c r="G172" s="32" t="n">
        <f aca="false">$B$31+0.125+112*0.25</f>
        <v>90.565</v>
      </c>
      <c r="H172" s="27" t="n">
        <f aca="false">IF(G172&lt;$B$33,1,0)</f>
        <v>0</v>
      </c>
      <c r="I172" s="43" t="n">
        <f aca="false">H172*(1-$B$6)^(G172-$B$31)*(1+$B$30)^(-G172)</f>
        <v>0</v>
      </c>
      <c r="J172" s="43" t="n">
        <f aca="false">H172*(1-$B$6)^(G172-$B$31)*L172*(1+$B$5)^(-G172)</f>
        <v>0</v>
      </c>
      <c r="L172" s="43" t="n">
        <f aca="false">IF($B$7="Oui",1-(IF(($B$4+G172)&lt;=$L$11,$M$11,IF(($B$4+G172)&gt;=$L$12,$M$12,INDEX($M$11:$M$12,MATCH(($B$4+G172),$L$11:$L$12,1))+(INDEX($M$11:$M$12,MATCH(($B$4+G172),$L$11:$L$12,1)+1)-INDEX($M$11:$M$12,MATCH(($B$4+G172),$L$11:$L$12,1)))*(($B$4+G172)-INDEX($L$11:$L$12,MATCH(($B$4+G172),$L$11:$L$12,1)))/(INDEX($L$11:$L$12,MATCH(($B$4+G172),$L$11:$L$12,1)+1)-INDEX($L$11:$L$12,MATCH(($B$4+G172),$L$11:$L$12,1)))))),1)</f>
        <v>1</v>
      </c>
    </row>
    <row r="173" customFormat="false" ht="15" hidden="false" customHeight="false" outlineLevel="0" collapsed="false">
      <c r="A173" s="32" t="n">
        <f aca="false">$B$32+0.125+113*0.25</f>
        <v>51.485</v>
      </c>
      <c r="B173" s="27" t="n">
        <f aca="false">IF(A173&lt;$B$31,1,0)</f>
        <v>1</v>
      </c>
      <c r="C173" s="43" t="n">
        <f aca="false">IF($B$7="Oui",1+((IF(($B$4+A173)&lt;=$I$11,$J$11,IF(($B$4+A173)&gt;=$I$33,$J$33,INDEX($J$11:$J$33,MATCH(($B$4+A173),$I$11:$I$33,1))+(INDEX($J$11:$J$33,MATCH(($B$4+A173),$I$11:$I$33,1)+1)-INDEX($J$11:$J$33,MATCH(($B$4+A173),$I$11:$I$33,1)))*(($B$4+A173)-INDEX($I$11:$I$33,MATCH(($B$4+A173),$I$11:$I$33,1)))/(INDEX($I$11:$I$33,MATCH(($B$4+A173),$I$11:$I$33,1)+1)-INDEX($I$11:$I$33,MATCH(($B$4+A173),$I$11:$I$33,1))))))-(IF(($B$4+A173)&lt;=$L$11,$M$11,IF(($B$4+A173)&gt;=$L$12,$M$12,INDEX($M$11:$M$12,MATCH(($B$4+A173),$L$11:$L$12,1))+(INDEX($M$11:$M$12,MATCH(($B$4+A173),$L$11:$L$12,1)+1)-INDEX($M$11:$M$12,MATCH(($B$4+A173),$L$11:$L$12,1)))*(($B$4+A173)-INDEX($L$11:$L$12,MATCH(($B$4+A173),$L$11:$L$12,1)))/(INDEX($L$11:$L$12,MATCH(($B$4+A173),$L$11:$L$12,1)+1)-INDEX($L$11:$L$12,MATCH(($B$4+A173),$L$11:$L$12,1)))))))/(1-(IF(($B$4+A173)&lt;=$I$11,$J$11,IF(($B$4+A173)&gt;=$I$33,$J$33,INDEX($J$11:$J$33,MATCH(($B$4+A173),$I$11:$I$33,1))+(INDEX($J$11:$J$33,MATCH(($B$4+A173),$I$11:$I$33,1)+1)-INDEX($J$11:$J$33,MATCH(($B$4+A173),$I$11:$I$33,1)))*(($B$4+A173)-INDEX($I$11:$I$33,MATCH(($B$4+A173),$I$11:$I$33,1)))/(INDEX($I$11:$I$33,MATCH(($B$4+A173),$I$11:$I$33,1)+1)-INDEX($I$11:$I$33,MATCH(($B$4+A173),$I$11:$I$33,1))))))),1)</f>
        <v>1</v>
      </c>
      <c r="D173" s="43" t="n">
        <f aca="false">B173*(1+$B$30)^(-A173)</f>
        <v>0.537811554951647</v>
      </c>
      <c r="E173" s="43" t="n">
        <f aca="false">B173*C173*(1+$B$5)^(-A173)</f>
        <v>1</v>
      </c>
      <c r="G173" s="32" t="n">
        <f aca="false">$B$31+0.125+113*0.25</f>
        <v>90.815</v>
      </c>
      <c r="H173" s="27" t="n">
        <f aca="false">IF(G173&lt;$B$33,1,0)</f>
        <v>0</v>
      </c>
      <c r="I173" s="43" t="n">
        <f aca="false">H173*(1-$B$6)^(G173-$B$31)*(1+$B$30)^(-G173)</f>
        <v>0</v>
      </c>
      <c r="J173" s="43" t="n">
        <f aca="false">H173*(1-$B$6)^(G173-$B$31)*L173*(1+$B$5)^(-G173)</f>
        <v>0</v>
      </c>
      <c r="L173" s="43" t="n">
        <f aca="false">IF($B$7="Oui",1-(IF(($B$4+G173)&lt;=$L$11,$M$11,IF(($B$4+G173)&gt;=$L$12,$M$12,INDEX($M$11:$M$12,MATCH(($B$4+G173),$L$11:$L$12,1))+(INDEX($M$11:$M$12,MATCH(($B$4+G173),$L$11:$L$12,1)+1)-INDEX($M$11:$M$12,MATCH(($B$4+G173),$L$11:$L$12,1)))*(($B$4+G173)-INDEX($L$11:$L$12,MATCH(($B$4+G173),$L$11:$L$12,1)))/(INDEX($L$11:$L$12,MATCH(($B$4+G173),$L$11:$L$12,1)+1)-INDEX($L$11:$L$12,MATCH(($B$4+G173),$L$11:$L$12,1)))))),1)</f>
        <v>1</v>
      </c>
    </row>
    <row r="174" customFormat="false" ht="15" hidden="false" customHeight="false" outlineLevel="0" collapsed="false">
      <c r="A174" s="32" t="n">
        <f aca="false">$B$32+0.125+114*0.25</f>
        <v>51.735</v>
      </c>
      <c r="B174" s="27" t="n">
        <f aca="false">IF(A174&lt;$B$31,1,0)</f>
        <v>1</v>
      </c>
      <c r="C174" s="43" t="n">
        <f aca="false">IF($B$7="Oui",1+((IF(($B$4+A174)&lt;=$I$11,$J$11,IF(($B$4+A174)&gt;=$I$33,$J$33,INDEX($J$11:$J$33,MATCH(($B$4+A174),$I$11:$I$33,1))+(INDEX($J$11:$J$33,MATCH(($B$4+A174),$I$11:$I$33,1)+1)-INDEX($J$11:$J$33,MATCH(($B$4+A174),$I$11:$I$33,1)))*(($B$4+A174)-INDEX($I$11:$I$33,MATCH(($B$4+A174),$I$11:$I$33,1)))/(INDEX($I$11:$I$33,MATCH(($B$4+A174),$I$11:$I$33,1)+1)-INDEX($I$11:$I$33,MATCH(($B$4+A174),$I$11:$I$33,1))))))-(IF(($B$4+A174)&lt;=$L$11,$M$11,IF(($B$4+A174)&gt;=$L$12,$M$12,INDEX($M$11:$M$12,MATCH(($B$4+A174),$L$11:$L$12,1))+(INDEX($M$11:$M$12,MATCH(($B$4+A174),$L$11:$L$12,1)+1)-INDEX($M$11:$M$12,MATCH(($B$4+A174),$L$11:$L$12,1)))*(($B$4+A174)-INDEX($L$11:$L$12,MATCH(($B$4+A174),$L$11:$L$12,1)))/(INDEX($L$11:$L$12,MATCH(($B$4+A174),$L$11:$L$12,1)+1)-INDEX($L$11:$L$12,MATCH(($B$4+A174),$L$11:$L$12,1)))))))/(1-(IF(($B$4+A174)&lt;=$I$11,$J$11,IF(($B$4+A174)&gt;=$I$33,$J$33,INDEX($J$11:$J$33,MATCH(($B$4+A174),$I$11:$I$33,1))+(INDEX($J$11:$J$33,MATCH(($B$4+A174),$I$11:$I$33,1)+1)-INDEX($J$11:$J$33,MATCH(($B$4+A174),$I$11:$I$33,1)))*(($B$4+A174)-INDEX($I$11:$I$33,MATCH(($B$4+A174),$I$11:$I$33,1)))/(INDEX($I$11:$I$33,MATCH(($B$4+A174),$I$11:$I$33,1)+1)-INDEX($I$11:$I$33,MATCH(($B$4+A174),$I$11:$I$33,1))))))),1)</f>
        <v>1</v>
      </c>
      <c r="D174" s="43" t="n">
        <f aca="false">B174*(1+$B$30)^(-A174)</f>
        <v>0.536194218812273</v>
      </c>
      <c r="E174" s="43" t="n">
        <f aca="false">B174*C174*(1+$B$5)^(-A174)</f>
        <v>1</v>
      </c>
      <c r="G174" s="32" t="n">
        <f aca="false">$B$31+0.125+114*0.25</f>
        <v>91.065</v>
      </c>
      <c r="H174" s="27" t="n">
        <f aca="false">IF(G174&lt;$B$33,1,0)</f>
        <v>0</v>
      </c>
      <c r="I174" s="43" t="n">
        <f aca="false">H174*(1-$B$6)^(G174-$B$31)*(1+$B$30)^(-G174)</f>
        <v>0</v>
      </c>
      <c r="J174" s="43" t="n">
        <f aca="false">H174*(1-$B$6)^(G174-$B$31)*L174*(1+$B$5)^(-G174)</f>
        <v>0</v>
      </c>
      <c r="L174" s="43" t="n">
        <f aca="false">IF($B$7="Oui",1-(IF(($B$4+G174)&lt;=$L$11,$M$11,IF(($B$4+G174)&gt;=$L$12,$M$12,INDEX($M$11:$M$12,MATCH(($B$4+G174),$L$11:$L$12,1))+(INDEX($M$11:$M$12,MATCH(($B$4+G174),$L$11:$L$12,1)+1)-INDEX($M$11:$M$12,MATCH(($B$4+G174),$L$11:$L$12,1)))*(($B$4+G174)-INDEX($L$11:$L$12,MATCH(($B$4+G174),$L$11:$L$12,1)))/(INDEX($L$11:$L$12,MATCH(($B$4+G174),$L$11:$L$12,1)+1)-INDEX($L$11:$L$12,MATCH(($B$4+G174),$L$11:$L$12,1)))))),1)</f>
        <v>1</v>
      </c>
    </row>
    <row r="175" customFormat="false" ht="15" hidden="false" customHeight="false" outlineLevel="0" collapsed="false">
      <c r="A175" s="32" t="n">
        <f aca="false">$B$32+0.125+115*0.25</f>
        <v>51.985</v>
      </c>
      <c r="B175" s="27" t="n">
        <f aca="false">IF(A175&lt;$B$31,1,0)</f>
        <v>1</v>
      </c>
      <c r="C175" s="43" t="n">
        <f aca="false">IF($B$7="Oui",1+((IF(($B$4+A175)&lt;=$I$11,$J$11,IF(($B$4+A175)&gt;=$I$33,$J$33,INDEX($J$11:$J$33,MATCH(($B$4+A175),$I$11:$I$33,1))+(INDEX($J$11:$J$33,MATCH(($B$4+A175),$I$11:$I$33,1)+1)-INDEX($J$11:$J$33,MATCH(($B$4+A175),$I$11:$I$33,1)))*(($B$4+A175)-INDEX($I$11:$I$33,MATCH(($B$4+A175),$I$11:$I$33,1)))/(INDEX($I$11:$I$33,MATCH(($B$4+A175),$I$11:$I$33,1)+1)-INDEX($I$11:$I$33,MATCH(($B$4+A175),$I$11:$I$33,1))))))-(IF(($B$4+A175)&lt;=$L$11,$M$11,IF(($B$4+A175)&gt;=$L$12,$M$12,INDEX($M$11:$M$12,MATCH(($B$4+A175),$L$11:$L$12,1))+(INDEX($M$11:$M$12,MATCH(($B$4+A175),$L$11:$L$12,1)+1)-INDEX($M$11:$M$12,MATCH(($B$4+A175),$L$11:$L$12,1)))*(($B$4+A175)-INDEX($L$11:$L$12,MATCH(($B$4+A175),$L$11:$L$12,1)))/(INDEX($L$11:$L$12,MATCH(($B$4+A175),$L$11:$L$12,1)+1)-INDEX($L$11:$L$12,MATCH(($B$4+A175),$L$11:$L$12,1)))))))/(1-(IF(($B$4+A175)&lt;=$I$11,$J$11,IF(($B$4+A175)&gt;=$I$33,$J$33,INDEX($J$11:$J$33,MATCH(($B$4+A175),$I$11:$I$33,1))+(INDEX($J$11:$J$33,MATCH(($B$4+A175),$I$11:$I$33,1)+1)-INDEX($J$11:$J$33,MATCH(($B$4+A175),$I$11:$I$33,1)))*(($B$4+A175)-INDEX($I$11:$I$33,MATCH(($B$4+A175),$I$11:$I$33,1)))/(INDEX($I$11:$I$33,MATCH(($B$4+A175),$I$11:$I$33,1)+1)-INDEX($I$11:$I$33,MATCH(($B$4+A175),$I$11:$I$33,1))))))),1)</f>
        <v>1</v>
      </c>
      <c r="D175" s="43" t="n">
        <f aca="false">B175*(1+$B$30)^(-A175)</f>
        <v>0.534581746414043</v>
      </c>
      <c r="E175" s="43" t="n">
        <f aca="false">B175*C175*(1+$B$5)^(-A175)</f>
        <v>1</v>
      </c>
      <c r="G175" s="32" t="n">
        <f aca="false">$B$31+0.125+115*0.25</f>
        <v>91.315</v>
      </c>
      <c r="H175" s="27" t="n">
        <f aca="false">IF(G175&lt;$B$33,1,0)</f>
        <v>0</v>
      </c>
      <c r="I175" s="43" t="n">
        <f aca="false">H175*(1-$B$6)^(G175-$B$31)*(1+$B$30)^(-G175)</f>
        <v>0</v>
      </c>
      <c r="J175" s="43" t="n">
        <f aca="false">H175*(1-$B$6)^(G175-$B$31)*L175*(1+$B$5)^(-G175)</f>
        <v>0</v>
      </c>
      <c r="L175" s="43" t="n">
        <f aca="false">IF($B$7="Oui",1-(IF(($B$4+G175)&lt;=$L$11,$M$11,IF(($B$4+G175)&gt;=$L$12,$M$12,INDEX($M$11:$M$12,MATCH(($B$4+G175),$L$11:$L$12,1))+(INDEX($M$11:$M$12,MATCH(($B$4+G175),$L$11:$L$12,1)+1)-INDEX($M$11:$M$12,MATCH(($B$4+G175),$L$11:$L$12,1)))*(($B$4+G175)-INDEX($L$11:$L$12,MATCH(($B$4+G175),$L$11:$L$12,1)))/(INDEX($L$11:$L$12,MATCH(($B$4+G175),$L$11:$L$12,1)+1)-INDEX($L$11:$L$12,MATCH(($B$4+G175),$L$11:$L$12,1)))))),1)</f>
        <v>1</v>
      </c>
    </row>
    <row r="176" customFormat="false" ht="15" hidden="false" customHeight="false" outlineLevel="0" collapsed="false">
      <c r="A176" s="32" t="n">
        <f aca="false">$B$32+0.125+116*0.25</f>
        <v>52.235</v>
      </c>
      <c r="B176" s="27" t="n">
        <f aca="false">IF(A176&lt;$B$31,1,0)</f>
        <v>1</v>
      </c>
      <c r="C176" s="43" t="n">
        <f aca="false">IF($B$7="Oui",1+((IF(($B$4+A176)&lt;=$I$11,$J$11,IF(($B$4+A176)&gt;=$I$33,$J$33,INDEX($J$11:$J$33,MATCH(($B$4+A176),$I$11:$I$33,1))+(INDEX($J$11:$J$33,MATCH(($B$4+A176),$I$11:$I$33,1)+1)-INDEX($J$11:$J$33,MATCH(($B$4+A176),$I$11:$I$33,1)))*(($B$4+A176)-INDEX($I$11:$I$33,MATCH(($B$4+A176),$I$11:$I$33,1)))/(INDEX($I$11:$I$33,MATCH(($B$4+A176),$I$11:$I$33,1)+1)-INDEX($I$11:$I$33,MATCH(($B$4+A176),$I$11:$I$33,1))))))-(IF(($B$4+A176)&lt;=$L$11,$M$11,IF(($B$4+A176)&gt;=$L$12,$M$12,INDEX($M$11:$M$12,MATCH(($B$4+A176),$L$11:$L$12,1))+(INDEX($M$11:$M$12,MATCH(($B$4+A176),$L$11:$L$12,1)+1)-INDEX($M$11:$M$12,MATCH(($B$4+A176),$L$11:$L$12,1)))*(($B$4+A176)-INDEX($L$11:$L$12,MATCH(($B$4+A176),$L$11:$L$12,1)))/(INDEX($L$11:$L$12,MATCH(($B$4+A176),$L$11:$L$12,1)+1)-INDEX($L$11:$L$12,MATCH(($B$4+A176),$L$11:$L$12,1)))))))/(1-(IF(($B$4+A176)&lt;=$I$11,$J$11,IF(($B$4+A176)&gt;=$I$33,$J$33,INDEX($J$11:$J$33,MATCH(($B$4+A176),$I$11:$I$33,1))+(INDEX($J$11:$J$33,MATCH(($B$4+A176),$I$11:$I$33,1)+1)-INDEX($J$11:$J$33,MATCH(($B$4+A176),$I$11:$I$33,1)))*(($B$4+A176)-INDEX($I$11:$I$33,MATCH(($B$4+A176),$I$11:$I$33,1)))/(INDEX($I$11:$I$33,MATCH(($B$4+A176),$I$11:$I$33,1)+1)-INDEX($I$11:$I$33,MATCH(($B$4+A176),$I$11:$I$33,1))))))),1)</f>
        <v>1</v>
      </c>
      <c r="D176" s="43" t="n">
        <f aca="false">B176*(1+$B$30)^(-A176)</f>
        <v>0.53297412313045</v>
      </c>
      <c r="E176" s="43" t="n">
        <f aca="false">B176*C176*(1+$B$5)^(-A176)</f>
        <v>1</v>
      </c>
      <c r="G176" s="32" t="n">
        <f aca="false">$B$31+0.125+116*0.25</f>
        <v>91.565</v>
      </c>
      <c r="H176" s="27" t="n">
        <f aca="false">IF(G176&lt;$B$33,1,0)</f>
        <v>0</v>
      </c>
      <c r="I176" s="43" t="n">
        <f aca="false">H176*(1-$B$6)^(G176-$B$31)*(1+$B$30)^(-G176)</f>
        <v>0</v>
      </c>
      <c r="J176" s="43" t="n">
        <f aca="false">H176*(1-$B$6)^(G176-$B$31)*L176*(1+$B$5)^(-G176)</f>
        <v>0</v>
      </c>
      <c r="L176" s="43" t="n">
        <f aca="false">IF($B$7="Oui",1-(IF(($B$4+G176)&lt;=$L$11,$M$11,IF(($B$4+G176)&gt;=$L$12,$M$12,INDEX($M$11:$M$12,MATCH(($B$4+G176),$L$11:$L$12,1))+(INDEX($M$11:$M$12,MATCH(($B$4+G176),$L$11:$L$12,1)+1)-INDEX($M$11:$M$12,MATCH(($B$4+G176),$L$11:$L$12,1)))*(($B$4+G176)-INDEX($L$11:$L$12,MATCH(($B$4+G176),$L$11:$L$12,1)))/(INDEX($L$11:$L$12,MATCH(($B$4+G176),$L$11:$L$12,1)+1)-INDEX($L$11:$L$12,MATCH(($B$4+G176),$L$11:$L$12,1)))))),1)</f>
        <v>1</v>
      </c>
    </row>
    <row r="177" customFormat="false" ht="15" hidden="false" customHeight="false" outlineLevel="0" collapsed="false">
      <c r="A177" s="32" t="n">
        <f aca="false">$B$32+0.125+117*0.25</f>
        <v>52.485</v>
      </c>
      <c r="B177" s="27" t="n">
        <f aca="false">IF(A177&lt;$B$31,1,0)</f>
        <v>1</v>
      </c>
      <c r="C177" s="43" t="n">
        <f aca="false">IF($B$7="Oui",1+((IF(($B$4+A177)&lt;=$I$11,$J$11,IF(($B$4+A177)&gt;=$I$33,$J$33,INDEX($J$11:$J$33,MATCH(($B$4+A177),$I$11:$I$33,1))+(INDEX($J$11:$J$33,MATCH(($B$4+A177),$I$11:$I$33,1)+1)-INDEX($J$11:$J$33,MATCH(($B$4+A177),$I$11:$I$33,1)))*(($B$4+A177)-INDEX($I$11:$I$33,MATCH(($B$4+A177),$I$11:$I$33,1)))/(INDEX($I$11:$I$33,MATCH(($B$4+A177),$I$11:$I$33,1)+1)-INDEX($I$11:$I$33,MATCH(($B$4+A177),$I$11:$I$33,1))))))-(IF(($B$4+A177)&lt;=$L$11,$M$11,IF(($B$4+A177)&gt;=$L$12,$M$12,INDEX($M$11:$M$12,MATCH(($B$4+A177),$L$11:$L$12,1))+(INDEX($M$11:$M$12,MATCH(($B$4+A177),$L$11:$L$12,1)+1)-INDEX($M$11:$M$12,MATCH(($B$4+A177),$L$11:$L$12,1)))*(($B$4+A177)-INDEX($L$11:$L$12,MATCH(($B$4+A177),$L$11:$L$12,1)))/(INDEX($L$11:$L$12,MATCH(($B$4+A177),$L$11:$L$12,1)+1)-INDEX($L$11:$L$12,MATCH(($B$4+A177),$L$11:$L$12,1)))))))/(1-(IF(($B$4+A177)&lt;=$I$11,$J$11,IF(($B$4+A177)&gt;=$I$33,$J$33,INDEX($J$11:$J$33,MATCH(($B$4+A177),$I$11:$I$33,1))+(INDEX($J$11:$J$33,MATCH(($B$4+A177),$I$11:$I$33,1)+1)-INDEX($J$11:$J$33,MATCH(($B$4+A177),$I$11:$I$33,1)))*(($B$4+A177)-INDEX($I$11:$I$33,MATCH(($B$4+A177),$I$11:$I$33,1)))/(INDEX($I$11:$I$33,MATCH(($B$4+A177),$I$11:$I$33,1)+1)-INDEX($I$11:$I$33,MATCH(($B$4+A177),$I$11:$I$33,1))))))),1)</f>
        <v>1</v>
      </c>
      <c r="D177" s="43" t="n">
        <f aca="false">B177*(1+$B$30)^(-A177)</f>
        <v>0.531371334378974</v>
      </c>
      <c r="E177" s="43" t="n">
        <f aca="false">B177*C177*(1+$B$5)^(-A177)</f>
        <v>1</v>
      </c>
      <c r="G177" s="32" t="n">
        <f aca="false">$B$31+0.125+117*0.25</f>
        <v>91.815</v>
      </c>
      <c r="H177" s="27" t="n">
        <f aca="false">IF(G177&lt;$B$33,1,0)</f>
        <v>0</v>
      </c>
      <c r="I177" s="43" t="n">
        <f aca="false">H177*(1-$B$6)^(G177-$B$31)*(1+$B$30)^(-G177)</f>
        <v>0</v>
      </c>
      <c r="J177" s="43" t="n">
        <f aca="false">H177*(1-$B$6)^(G177-$B$31)*L177*(1+$B$5)^(-G177)</f>
        <v>0</v>
      </c>
      <c r="L177" s="43" t="n">
        <f aca="false">IF($B$7="Oui",1-(IF(($B$4+G177)&lt;=$L$11,$M$11,IF(($B$4+G177)&gt;=$L$12,$M$12,INDEX($M$11:$M$12,MATCH(($B$4+G177),$L$11:$L$12,1))+(INDEX($M$11:$M$12,MATCH(($B$4+G177),$L$11:$L$12,1)+1)-INDEX($M$11:$M$12,MATCH(($B$4+G177),$L$11:$L$12,1)))*(($B$4+G177)-INDEX($L$11:$L$12,MATCH(($B$4+G177),$L$11:$L$12,1)))/(INDEX($L$11:$L$12,MATCH(($B$4+G177),$L$11:$L$12,1)+1)-INDEX($L$11:$L$12,MATCH(($B$4+G177),$L$11:$L$12,1)))))),1)</f>
        <v>1</v>
      </c>
    </row>
    <row r="178" customFormat="false" ht="15" hidden="false" customHeight="false" outlineLevel="0" collapsed="false">
      <c r="A178" s="32" t="n">
        <f aca="false">$B$32+0.125+118*0.25</f>
        <v>52.735</v>
      </c>
      <c r="B178" s="27" t="n">
        <f aca="false">IF(A178&lt;$B$31,1,0)</f>
        <v>1</v>
      </c>
      <c r="C178" s="43" t="n">
        <f aca="false">IF($B$7="Oui",1+((IF(($B$4+A178)&lt;=$I$11,$J$11,IF(($B$4+A178)&gt;=$I$33,$J$33,INDEX($J$11:$J$33,MATCH(($B$4+A178),$I$11:$I$33,1))+(INDEX($J$11:$J$33,MATCH(($B$4+A178),$I$11:$I$33,1)+1)-INDEX($J$11:$J$33,MATCH(($B$4+A178),$I$11:$I$33,1)))*(($B$4+A178)-INDEX($I$11:$I$33,MATCH(($B$4+A178),$I$11:$I$33,1)))/(INDEX($I$11:$I$33,MATCH(($B$4+A178),$I$11:$I$33,1)+1)-INDEX($I$11:$I$33,MATCH(($B$4+A178),$I$11:$I$33,1))))))-(IF(($B$4+A178)&lt;=$L$11,$M$11,IF(($B$4+A178)&gt;=$L$12,$M$12,INDEX($M$11:$M$12,MATCH(($B$4+A178),$L$11:$L$12,1))+(INDEX($M$11:$M$12,MATCH(($B$4+A178),$L$11:$L$12,1)+1)-INDEX($M$11:$M$12,MATCH(($B$4+A178),$L$11:$L$12,1)))*(($B$4+A178)-INDEX($L$11:$L$12,MATCH(($B$4+A178),$L$11:$L$12,1)))/(INDEX($L$11:$L$12,MATCH(($B$4+A178),$L$11:$L$12,1)+1)-INDEX($L$11:$L$12,MATCH(($B$4+A178),$L$11:$L$12,1)))))))/(1-(IF(($B$4+A178)&lt;=$I$11,$J$11,IF(($B$4+A178)&gt;=$I$33,$J$33,INDEX($J$11:$J$33,MATCH(($B$4+A178),$I$11:$I$33,1))+(INDEX($J$11:$J$33,MATCH(($B$4+A178),$I$11:$I$33,1)+1)-INDEX($J$11:$J$33,MATCH(($B$4+A178),$I$11:$I$33,1)))*(($B$4+A178)-INDEX($I$11:$I$33,MATCH(($B$4+A178),$I$11:$I$33,1)))/(INDEX($I$11:$I$33,MATCH(($B$4+A178),$I$11:$I$33,1)+1)-INDEX($I$11:$I$33,MATCH(($B$4+A178),$I$11:$I$33,1))))))),1)</f>
        <v>1</v>
      </c>
      <c r="D178" s="43" t="n">
        <f aca="false">B178*(1+$B$30)^(-A178)</f>
        <v>0.529773365620947</v>
      </c>
      <c r="E178" s="43" t="n">
        <f aca="false">B178*C178*(1+$B$5)^(-A178)</f>
        <v>1</v>
      </c>
      <c r="G178" s="32" t="n">
        <f aca="false">$B$31+0.125+118*0.25</f>
        <v>92.065</v>
      </c>
      <c r="H178" s="27" t="n">
        <f aca="false">IF(G178&lt;$B$33,1,0)</f>
        <v>0</v>
      </c>
      <c r="I178" s="43" t="n">
        <f aca="false">H178*(1-$B$6)^(G178-$B$31)*(1+$B$30)^(-G178)</f>
        <v>0</v>
      </c>
      <c r="J178" s="43" t="n">
        <f aca="false">H178*(1-$B$6)^(G178-$B$31)*L178*(1+$B$5)^(-G178)</f>
        <v>0</v>
      </c>
      <c r="L178" s="43" t="n">
        <f aca="false">IF($B$7="Oui",1-(IF(($B$4+G178)&lt;=$L$11,$M$11,IF(($B$4+G178)&gt;=$L$12,$M$12,INDEX($M$11:$M$12,MATCH(($B$4+G178),$L$11:$L$12,1))+(INDEX($M$11:$M$12,MATCH(($B$4+G178),$L$11:$L$12,1)+1)-INDEX($M$11:$M$12,MATCH(($B$4+G178),$L$11:$L$12,1)))*(($B$4+G178)-INDEX($L$11:$L$12,MATCH(($B$4+G178),$L$11:$L$12,1)))/(INDEX($L$11:$L$12,MATCH(($B$4+G178),$L$11:$L$12,1)+1)-INDEX($L$11:$L$12,MATCH(($B$4+G178),$L$11:$L$12,1)))))),1)</f>
        <v>1</v>
      </c>
    </row>
    <row r="179" customFormat="false" ht="15" hidden="false" customHeight="false" outlineLevel="0" collapsed="false">
      <c r="A179" s="32" t="n">
        <f aca="false">$B$32+0.125+119*0.25</f>
        <v>52.985</v>
      </c>
      <c r="B179" s="27" t="n">
        <f aca="false">IF(A179&lt;$B$31,1,0)</f>
        <v>1</v>
      </c>
      <c r="C179" s="43" t="n">
        <f aca="false">IF($B$7="Oui",1+((IF(($B$4+A179)&lt;=$I$11,$J$11,IF(($B$4+A179)&gt;=$I$33,$J$33,INDEX($J$11:$J$33,MATCH(($B$4+A179),$I$11:$I$33,1))+(INDEX($J$11:$J$33,MATCH(($B$4+A179),$I$11:$I$33,1)+1)-INDEX($J$11:$J$33,MATCH(($B$4+A179),$I$11:$I$33,1)))*(($B$4+A179)-INDEX($I$11:$I$33,MATCH(($B$4+A179),$I$11:$I$33,1)))/(INDEX($I$11:$I$33,MATCH(($B$4+A179),$I$11:$I$33,1)+1)-INDEX($I$11:$I$33,MATCH(($B$4+A179),$I$11:$I$33,1))))))-(IF(($B$4+A179)&lt;=$L$11,$M$11,IF(($B$4+A179)&gt;=$L$12,$M$12,INDEX($M$11:$M$12,MATCH(($B$4+A179),$L$11:$L$12,1))+(INDEX($M$11:$M$12,MATCH(($B$4+A179),$L$11:$L$12,1)+1)-INDEX($M$11:$M$12,MATCH(($B$4+A179),$L$11:$L$12,1)))*(($B$4+A179)-INDEX($L$11:$L$12,MATCH(($B$4+A179),$L$11:$L$12,1)))/(INDEX($L$11:$L$12,MATCH(($B$4+A179),$L$11:$L$12,1)+1)-INDEX($L$11:$L$12,MATCH(($B$4+A179),$L$11:$L$12,1)))))))/(1-(IF(($B$4+A179)&lt;=$I$11,$J$11,IF(($B$4+A179)&gt;=$I$33,$J$33,INDEX($J$11:$J$33,MATCH(($B$4+A179),$I$11:$I$33,1))+(INDEX($J$11:$J$33,MATCH(($B$4+A179),$I$11:$I$33,1)+1)-INDEX($J$11:$J$33,MATCH(($B$4+A179),$I$11:$I$33,1)))*(($B$4+A179)-INDEX($I$11:$I$33,MATCH(($B$4+A179),$I$11:$I$33,1)))/(INDEX($I$11:$I$33,MATCH(($B$4+A179),$I$11:$I$33,1)+1)-INDEX($I$11:$I$33,MATCH(($B$4+A179),$I$11:$I$33,1))))))),1)</f>
        <v>1</v>
      </c>
      <c r="D179" s="43" t="n">
        <f aca="false">B179*(1+$B$30)^(-A179)</f>
        <v>0.528180202361422</v>
      </c>
      <c r="E179" s="43" t="n">
        <f aca="false">B179*C179*(1+$B$5)^(-A179)</f>
        <v>1</v>
      </c>
      <c r="G179" s="32" t="n">
        <f aca="false">$B$31+0.125+119*0.25</f>
        <v>92.315</v>
      </c>
      <c r="H179" s="27" t="n">
        <f aca="false">IF(G179&lt;$B$33,1,0)</f>
        <v>0</v>
      </c>
      <c r="I179" s="43" t="n">
        <f aca="false">H179*(1-$B$6)^(G179-$B$31)*(1+$B$30)^(-G179)</f>
        <v>0</v>
      </c>
      <c r="J179" s="43" t="n">
        <f aca="false">H179*(1-$B$6)^(G179-$B$31)*L179*(1+$B$5)^(-G179)</f>
        <v>0</v>
      </c>
      <c r="L179" s="43" t="n">
        <f aca="false">IF($B$7="Oui",1-(IF(($B$4+G179)&lt;=$L$11,$M$11,IF(($B$4+G179)&gt;=$L$12,$M$12,INDEX($M$11:$M$12,MATCH(($B$4+G179),$L$11:$L$12,1))+(INDEX($M$11:$M$12,MATCH(($B$4+G179),$L$11:$L$12,1)+1)-INDEX($M$11:$M$12,MATCH(($B$4+G179),$L$11:$L$12,1)))*(($B$4+G179)-INDEX($L$11:$L$12,MATCH(($B$4+G179),$L$11:$L$12,1)))/(INDEX($L$11:$L$12,MATCH(($B$4+G179),$L$11:$L$12,1)+1)-INDEX($L$11:$L$12,MATCH(($B$4+G179),$L$11:$L$12,1)))))),1)</f>
        <v>1</v>
      </c>
    </row>
    <row r="180" customFormat="false" ht="15" hidden="false" customHeight="false" outlineLevel="0" collapsed="false">
      <c r="A180" s="32" t="n">
        <f aca="false">$B$32+0.125+120*0.25</f>
        <v>53.235</v>
      </c>
      <c r="B180" s="27" t="n">
        <f aca="false">IF(A180&lt;$B$31,1,0)</f>
        <v>1</v>
      </c>
      <c r="C180" s="43" t="n">
        <f aca="false">IF($B$7="Oui",1+((IF(($B$4+A180)&lt;=$I$11,$J$11,IF(($B$4+A180)&gt;=$I$33,$J$33,INDEX($J$11:$J$33,MATCH(($B$4+A180),$I$11:$I$33,1))+(INDEX($J$11:$J$33,MATCH(($B$4+A180),$I$11:$I$33,1)+1)-INDEX($J$11:$J$33,MATCH(($B$4+A180),$I$11:$I$33,1)))*(($B$4+A180)-INDEX($I$11:$I$33,MATCH(($B$4+A180),$I$11:$I$33,1)))/(INDEX($I$11:$I$33,MATCH(($B$4+A180),$I$11:$I$33,1)+1)-INDEX($I$11:$I$33,MATCH(($B$4+A180),$I$11:$I$33,1))))))-(IF(($B$4+A180)&lt;=$L$11,$M$11,IF(($B$4+A180)&gt;=$L$12,$M$12,INDEX($M$11:$M$12,MATCH(($B$4+A180),$L$11:$L$12,1))+(INDEX($M$11:$M$12,MATCH(($B$4+A180),$L$11:$L$12,1)+1)-INDEX($M$11:$M$12,MATCH(($B$4+A180),$L$11:$L$12,1)))*(($B$4+A180)-INDEX($L$11:$L$12,MATCH(($B$4+A180),$L$11:$L$12,1)))/(INDEX($L$11:$L$12,MATCH(($B$4+A180),$L$11:$L$12,1)+1)-INDEX($L$11:$L$12,MATCH(($B$4+A180),$L$11:$L$12,1)))))))/(1-(IF(($B$4+A180)&lt;=$I$11,$J$11,IF(($B$4+A180)&gt;=$I$33,$J$33,INDEX($J$11:$J$33,MATCH(($B$4+A180),$I$11:$I$33,1))+(INDEX($J$11:$J$33,MATCH(($B$4+A180),$I$11:$I$33,1)+1)-INDEX($J$11:$J$33,MATCH(($B$4+A180),$I$11:$I$33,1)))*(($B$4+A180)-INDEX($I$11:$I$33,MATCH(($B$4+A180),$I$11:$I$33,1)))/(INDEX($I$11:$I$33,MATCH(($B$4+A180),$I$11:$I$33,1)+1)-INDEX($I$11:$I$33,MATCH(($B$4+A180),$I$11:$I$33,1))))))),1)</f>
        <v>1</v>
      </c>
      <c r="D180" s="43" t="n">
        <f aca="false">B180*(1+$B$30)^(-A180)</f>
        <v>0.526591830149044</v>
      </c>
      <c r="E180" s="43" t="n">
        <f aca="false">B180*C180*(1+$B$5)^(-A180)</f>
        <v>1</v>
      </c>
      <c r="G180" s="32" t="n">
        <f aca="false">$B$31+0.125+120*0.25</f>
        <v>92.565</v>
      </c>
      <c r="H180" s="27" t="n">
        <f aca="false">IF(G180&lt;$B$33,1,0)</f>
        <v>0</v>
      </c>
      <c r="I180" s="43" t="n">
        <f aca="false">H180*(1-$B$6)^(G180-$B$31)*(1+$B$30)^(-G180)</f>
        <v>0</v>
      </c>
      <c r="J180" s="43" t="n">
        <f aca="false">H180*(1-$B$6)^(G180-$B$31)*L180*(1+$B$5)^(-G180)</f>
        <v>0</v>
      </c>
      <c r="L180" s="43" t="n">
        <f aca="false">IF($B$7="Oui",1-(IF(($B$4+G180)&lt;=$L$11,$M$11,IF(($B$4+G180)&gt;=$L$12,$M$12,INDEX($M$11:$M$12,MATCH(($B$4+G180),$L$11:$L$12,1))+(INDEX($M$11:$M$12,MATCH(($B$4+G180),$L$11:$L$12,1)+1)-INDEX($M$11:$M$12,MATCH(($B$4+G180),$L$11:$L$12,1)))*(($B$4+G180)-INDEX($L$11:$L$12,MATCH(($B$4+G180),$L$11:$L$12,1)))/(INDEX($L$11:$L$12,MATCH(($B$4+G180),$L$11:$L$12,1)+1)-INDEX($L$11:$L$12,MATCH(($B$4+G180),$L$11:$L$12,1)))))),1)</f>
        <v>1</v>
      </c>
    </row>
    <row r="181" customFormat="false" ht="15" hidden="false" customHeight="false" outlineLevel="0" collapsed="false">
      <c r="A181" s="32" t="n">
        <f aca="false">$B$32+0.125+121*0.25</f>
        <v>53.485</v>
      </c>
      <c r="B181" s="27" t="n">
        <f aca="false">IF(A181&lt;$B$31,1,0)</f>
        <v>1</v>
      </c>
      <c r="C181" s="43" t="n">
        <f aca="false">IF($B$7="Oui",1+((IF(($B$4+A181)&lt;=$I$11,$J$11,IF(($B$4+A181)&gt;=$I$33,$J$33,INDEX($J$11:$J$33,MATCH(($B$4+A181),$I$11:$I$33,1))+(INDEX($J$11:$J$33,MATCH(($B$4+A181),$I$11:$I$33,1)+1)-INDEX($J$11:$J$33,MATCH(($B$4+A181),$I$11:$I$33,1)))*(($B$4+A181)-INDEX($I$11:$I$33,MATCH(($B$4+A181),$I$11:$I$33,1)))/(INDEX($I$11:$I$33,MATCH(($B$4+A181),$I$11:$I$33,1)+1)-INDEX($I$11:$I$33,MATCH(($B$4+A181),$I$11:$I$33,1))))))-(IF(($B$4+A181)&lt;=$L$11,$M$11,IF(($B$4+A181)&gt;=$L$12,$M$12,INDEX($M$11:$M$12,MATCH(($B$4+A181),$L$11:$L$12,1))+(INDEX($M$11:$M$12,MATCH(($B$4+A181),$L$11:$L$12,1)+1)-INDEX($M$11:$M$12,MATCH(($B$4+A181),$L$11:$L$12,1)))*(($B$4+A181)-INDEX($L$11:$L$12,MATCH(($B$4+A181),$L$11:$L$12,1)))/(INDEX($L$11:$L$12,MATCH(($B$4+A181),$L$11:$L$12,1)+1)-INDEX($L$11:$L$12,MATCH(($B$4+A181),$L$11:$L$12,1)))))))/(1-(IF(($B$4+A181)&lt;=$I$11,$J$11,IF(($B$4+A181)&gt;=$I$33,$J$33,INDEX($J$11:$J$33,MATCH(($B$4+A181),$I$11:$I$33,1))+(INDEX($J$11:$J$33,MATCH(($B$4+A181),$I$11:$I$33,1)+1)-INDEX($J$11:$J$33,MATCH(($B$4+A181),$I$11:$I$33,1)))*(($B$4+A181)-INDEX($I$11:$I$33,MATCH(($B$4+A181),$I$11:$I$33,1)))/(INDEX($I$11:$I$33,MATCH(($B$4+A181),$I$11:$I$33,1)+1)-INDEX($I$11:$I$33,MATCH(($B$4+A181),$I$11:$I$33,1))))))),1)</f>
        <v>1</v>
      </c>
      <c r="D181" s="43" t="n">
        <f aca="false">B181*(1+$B$30)^(-A181)</f>
        <v>0.525008234575914</v>
      </c>
      <c r="E181" s="43" t="n">
        <f aca="false">B181*C181*(1+$B$5)^(-A181)</f>
        <v>1</v>
      </c>
      <c r="G181" s="32" t="n">
        <f aca="false">$B$31+0.125+121*0.25</f>
        <v>92.815</v>
      </c>
      <c r="H181" s="27" t="n">
        <f aca="false">IF(G181&lt;$B$33,1,0)</f>
        <v>0</v>
      </c>
      <c r="I181" s="43" t="n">
        <f aca="false">H181*(1-$B$6)^(G181-$B$31)*(1+$B$30)^(-G181)</f>
        <v>0</v>
      </c>
      <c r="J181" s="43" t="n">
        <f aca="false">H181*(1-$B$6)^(G181-$B$31)*L181*(1+$B$5)^(-G181)</f>
        <v>0</v>
      </c>
      <c r="L181" s="43" t="n">
        <f aca="false">IF($B$7="Oui",1-(IF(($B$4+G181)&lt;=$L$11,$M$11,IF(($B$4+G181)&gt;=$L$12,$M$12,INDEX($M$11:$M$12,MATCH(($B$4+G181),$L$11:$L$12,1))+(INDEX($M$11:$M$12,MATCH(($B$4+G181),$L$11:$L$12,1)+1)-INDEX($M$11:$M$12,MATCH(($B$4+G181),$L$11:$L$12,1)))*(($B$4+G181)-INDEX($L$11:$L$12,MATCH(($B$4+G181),$L$11:$L$12,1)))/(INDEX($L$11:$L$12,MATCH(($B$4+G181),$L$11:$L$12,1)+1)-INDEX($L$11:$L$12,MATCH(($B$4+G181),$L$11:$L$12,1)))))),1)</f>
        <v>1</v>
      </c>
    </row>
    <row r="182" customFormat="false" ht="15" hidden="false" customHeight="false" outlineLevel="0" collapsed="false">
      <c r="A182" s="32" t="n">
        <f aca="false">$B$32+0.125+122*0.25</f>
        <v>53.735</v>
      </c>
      <c r="B182" s="27" t="n">
        <f aca="false">IF(A182&lt;$B$31,1,0)</f>
        <v>1</v>
      </c>
      <c r="C182" s="43" t="n">
        <f aca="false">IF($B$7="Oui",1+((IF(($B$4+A182)&lt;=$I$11,$J$11,IF(($B$4+A182)&gt;=$I$33,$J$33,INDEX($J$11:$J$33,MATCH(($B$4+A182),$I$11:$I$33,1))+(INDEX($J$11:$J$33,MATCH(($B$4+A182),$I$11:$I$33,1)+1)-INDEX($J$11:$J$33,MATCH(($B$4+A182),$I$11:$I$33,1)))*(($B$4+A182)-INDEX($I$11:$I$33,MATCH(($B$4+A182),$I$11:$I$33,1)))/(INDEX($I$11:$I$33,MATCH(($B$4+A182),$I$11:$I$33,1)+1)-INDEX($I$11:$I$33,MATCH(($B$4+A182),$I$11:$I$33,1))))))-(IF(($B$4+A182)&lt;=$L$11,$M$11,IF(($B$4+A182)&gt;=$L$12,$M$12,INDEX($M$11:$M$12,MATCH(($B$4+A182),$L$11:$L$12,1))+(INDEX($M$11:$M$12,MATCH(($B$4+A182),$L$11:$L$12,1)+1)-INDEX($M$11:$M$12,MATCH(($B$4+A182),$L$11:$L$12,1)))*(($B$4+A182)-INDEX($L$11:$L$12,MATCH(($B$4+A182),$L$11:$L$12,1)))/(INDEX($L$11:$L$12,MATCH(($B$4+A182),$L$11:$L$12,1)+1)-INDEX($L$11:$L$12,MATCH(($B$4+A182),$L$11:$L$12,1)))))))/(1-(IF(($B$4+A182)&lt;=$I$11,$J$11,IF(($B$4+A182)&gt;=$I$33,$J$33,INDEX($J$11:$J$33,MATCH(($B$4+A182),$I$11:$I$33,1))+(INDEX($J$11:$J$33,MATCH(($B$4+A182),$I$11:$I$33,1)+1)-INDEX($J$11:$J$33,MATCH(($B$4+A182),$I$11:$I$33,1)))*(($B$4+A182)-INDEX($I$11:$I$33,MATCH(($B$4+A182),$I$11:$I$33,1)))/(INDEX($I$11:$I$33,MATCH(($B$4+A182),$I$11:$I$33,1)+1)-INDEX($I$11:$I$33,MATCH(($B$4+A182),$I$11:$I$33,1))))))),1)</f>
        <v>1</v>
      </c>
      <c r="D182" s="43" t="n">
        <f aca="false">B182*(1+$B$30)^(-A182)</f>
        <v>0.523429401277464</v>
      </c>
      <c r="E182" s="43" t="n">
        <f aca="false">B182*C182*(1+$B$5)^(-A182)</f>
        <v>1</v>
      </c>
      <c r="G182" s="32" t="n">
        <f aca="false">$B$31+0.125+122*0.25</f>
        <v>93.065</v>
      </c>
      <c r="H182" s="27" t="n">
        <f aca="false">IF(G182&lt;$B$33,1,0)</f>
        <v>0</v>
      </c>
      <c r="I182" s="43" t="n">
        <f aca="false">H182*(1-$B$6)^(G182-$B$31)*(1+$B$30)^(-G182)</f>
        <v>0</v>
      </c>
      <c r="J182" s="43" t="n">
        <f aca="false">H182*(1-$B$6)^(G182-$B$31)*L182*(1+$B$5)^(-G182)</f>
        <v>0</v>
      </c>
      <c r="L182" s="43" t="n">
        <f aca="false">IF($B$7="Oui",1-(IF(($B$4+G182)&lt;=$L$11,$M$11,IF(($B$4+G182)&gt;=$L$12,$M$12,INDEX($M$11:$M$12,MATCH(($B$4+G182),$L$11:$L$12,1))+(INDEX($M$11:$M$12,MATCH(($B$4+G182),$L$11:$L$12,1)+1)-INDEX($M$11:$M$12,MATCH(($B$4+G182),$L$11:$L$12,1)))*(($B$4+G182)-INDEX($L$11:$L$12,MATCH(($B$4+G182),$L$11:$L$12,1)))/(INDEX($L$11:$L$12,MATCH(($B$4+G182),$L$11:$L$12,1)+1)-INDEX($L$11:$L$12,MATCH(($B$4+G182),$L$11:$L$12,1)))))),1)</f>
        <v>1</v>
      </c>
    </row>
    <row r="183" customFormat="false" ht="15" hidden="false" customHeight="false" outlineLevel="0" collapsed="false">
      <c r="A183" s="32" t="n">
        <f aca="false">$B$32+0.125+123*0.25</f>
        <v>53.985</v>
      </c>
      <c r="B183" s="27" t="n">
        <f aca="false">IF(A183&lt;$B$31,1,0)</f>
        <v>1</v>
      </c>
      <c r="C183" s="43" t="n">
        <f aca="false">IF($B$7="Oui",1+((IF(($B$4+A183)&lt;=$I$11,$J$11,IF(($B$4+A183)&gt;=$I$33,$J$33,INDEX($J$11:$J$33,MATCH(($B$4+A183),$I$11:$I$33,1))+(INDEX($J$11:$J$33,MATCH(($B$4+A183),$I$11:$I$33,1)+1)-INDEX($J$11:$J$33,MATCH(($B$4+A183),$I$11:$I$33,1)))*(($B$4+A183)-INDEX($I$11:$I$33,MATCH(($B$4+A183),$I$11:$I$33,1)))/(INDEX($I$11:$I$33,MATCH(($B$4+A183),$I$11:$I$33,1)+1)-INDEX($I$11:$I$33,MATCH(($B$4+A183),$I$11:$I$33,1))))))-(IF(($B$4+A183)&lt;=$L$11,$M$11,IF(($B$4+A183)&gt;=$L$12,$M$12,INDEX($M$11:$M$12,MATCH(($B$4+A183),$L$11:$L$12,1))+(INDEX($M$11:$M$12,MATCH(($B$4+A183),$L$11:$L$12,1)+1)-INDEX($M$11:$M$12,MATCH(($B$4+A183),$L$11:$L$12,1)))*(($B$4+A183)-INDEX($L$11:$L$12,MATCH(($B$4+A183),$L$11:$L$12,1)))/(INDEX($L$11:$L$12,MATCH(($B$4+A183),$L$11:$L$12,1)+1)-INDEX($L$11:$L$12,MATCH(($B$4+A183),$L$11:$L$12,1)))))))/(1-(IF(($B$4+A183)&lt;=$I$11,$J$11,IF(($B$4+A183)&gt;=$I$33,$J$33,INDEX($J$11:$J$33,MATCH(($B$4+A183),$I$11:$I$33,1))+(INDEX($J$11:$J$33,MATCH(($B$4+A183),$I$11:$I$33,1)+1)-INDEX($J$11:$J$33,MATCH(($B$4+A183),$I$11:$I$33,1)))*(($B$4+A183)-INDEX($I$11:$I$33,MATCH(($B$4+A183),$I$11:$I$33,1)))/(INDEX($I$11:$I$33,MATCH(($B$4+A183),$I$11:$I$33,1)+1)-INDEX($I$11:$I$33,MATCH(($B$4+A183),$I$11:$I$33,1))))))),1)</f>
        <v>1</v>
      </c>
      <c r="D183" s="43" t="n">
        <f aca="false">B183*(1+$B$30)^(-A183)</f>
        <v>0.521855315932323</v>
      </c>
      <c r="E183" s="43" t="n">
        <f aca="false">B183*C183*(1+$B$5)^(-A183)</f>
        <v>1</v>
      </c>
      <c r="G183" s="32" t="n">
        <f aca="false">$B$31+0.125+123*0.25</f>
        <v>93.315</v>
      </c>
      <c r="H183" s="27" t="n">
        <f aca="false">IF(G183&lt;$B$33,1,0)</f>
        <v>0</v>
      </c>
      <c r="I183" s="43" t="n">
        <f aca="false">H183*(1-$B$6)^(G183-$B$31)*(1+$B$30)^(-G183)</f>
        <v>0</v>
      </c>
      <c r="J183" s="43" t="n">
        <f aca="false">H183*(1-$B$6)^(G183-$B$31)*L183*(1+$B$5)^(-G183)</f>
        <v>0</v>
      </c>
      <c r="L183" s="43" t="n">
        <f aca="false">IF($B$7="Oui",1-(IF(($B$4+G183)&lt;=$L$11,$M$11,IF(($B$4+G183)&gt;=$L$12,$M$12,INDEX($M$11:$M$12,MATCH(($B$4+G183),$L$11:$L$12,1))+(INDEX($M$11:$M$12,MATCH(($B$4+G183),$L$11:$L$12,1)+1)-INDEX($M$11:$M$12,MATCH(($B$4+G183),$L$11:$L$12,1)))*(($B$4+G183)-INDEX($L$11:$L$12,MATCH(($B$4+G183),$L$11:$L$12,1)))/(INDEX($L$11:$L$12,MATCH(($B$4+G183),$L$11:$L$12,1)+1)-INDEX($L$11:$L$12,MATCH(($B$4+G183),$L$11:$L$12,1)))))),1)</f>
        <v>1</v>
      </c>
    </row>
    <row r="184" customFormat="false" ht="15" hidden="false" customHeight="false" outlineLevel="0" collapsed="false">
      <c r="A184" s="32" t="n">
        <f aca="false">$B$32+0.125+124*0.25</f>
        <v>54.235</v>
      </c>
      <c r="B184" s="27" t="n">
        <f aca="false">IF(A184&lt;$B$31,1,0)</f>
        <v>1</v>
      </c>
      <c r="C184" s="43" t="n">
        <f aca="false">IF($B$7="Oui",1+((IF(($B$4+A184)&lt;=$I$11,$J$11,IF(($B$4+A184)&gt;=$I$33,$J$33,INDEX($J$11:$J$33,MATCH(($B$4+A184),$I$11:$I$33,1))+(INDEX($J$11:$J$33,MATCH(($B$4+A184),$I$11:$I$33,1)+1)-INDEX($J$11:$J$33,MATCH(($B$4+A184),$I$11:$I$33,1)))*(($B$4+A184)-INDEX($I$11:$I$33,MATCH(($B$4+A184),$I$11:$I$33,1)))/(INDEX($I$11:$I$33,MATCH(($B$4+A184),$I$11:$I$33,1)+1)-INDEX($I$11:$I$33,MATCH(($B$4+A184),$I$11:$I$33,1))))))-(IF(($B$4+A184)&lt;=$L$11,$M$11,IF(($B$4+A184)&gt;=$L$12,$M$12,INDEX($M$11:$M$12,MATCH(($B$4+A184),$L$11:$L$12,1))+(INDEX($M$11:$M$12,MATCH(($B$4+A184),$L$11:$L$12,1)+1)-INDEX($M$11:$M$12,MATCH(($B$4+A184),$L$11:$L$12,1)))*(($B$4+A184)-INDEX($L$11:$L$12,MATCH(($B$4+A184),$L$11:$L$12,1)))/(INDEX($L$11:$L$12,MATCH(($B$4+A184),$L$11:$L$12,1)+1)-INDEX($L$11:$L$12,MATCH(($B$4+A184),$L$11:$L$12,1)))))))/(1-(IF(($B$4+A184)&lt;=$I$11,$J$11,IF(($B$4+A184)&gt;=$I$33,$J$33,INDEX($J$11:$J$33,MATCH(($B$4+A184),$I$11:$I$33,1))+(INDEX($J$11:$J$33,MATCH(($B$4+A184),$I$11:$I$33,1)+1)-INDEX($J$11:$J$33,MATCH(($B$4+A184),$I$11:$I$33,1)))*(($B$4+A184)-INDEX($I$11:$I$33,MATCH(($B$4+A184),$I$11:$I$33,1)))/(INDEX($I$11:$I$33,MATCH(($B$4+A184),$I$11:$I$33,1)+1)-INDEX($I$11:$I$33,MATCH(($B$4+A184),$I$11:$I$33,1))))))),1)</f>
        <v>1</v>
      </c>
      <c r="D184" s="43" t="n">
        <f aca="false">B184*(1+$B$30)^(-A184)</f>
        <v>0.520285964262186</v>
      </c>
      <c r="E184" s="43" t="n">
        <f aca="false">B184*C184*(1+$B$5)^(-A184)</f>
        <v>1</v>
      </c>
      <c r="G184" s="32" t="n">
        <f aca="false">$B$31+0.125+124*0.25</f>
        <v>93.565</v>
      </c>
      <c r="H184" s="27" t="n">
        <f aca="false">IF(G184&lt;$B$33,1,0)</f>
        <v>0</v>
      </c>
      <c r="I184" s="43" t="n">
        <f aca="false">H184*(1-$B$6)^(G184-$B$31)*(1+$B$30)^(-G184)</f>
        <v>0</v>
      </c>
      <c r="J184" s="43" t="n">
        <f aca="false">H184*(1-$B$6)^(G184-$B$31)*L184*(1+$B$5)^(-G184)</f>
        <v>0</v>
      </c>
      <c r="L184" s="43" t="n">
        <f aca="false">IF($B$7="Oui",1-(IF(($B$4+G184)&lt;=$L$11,$M$11,IF(($B$4+G184)&gt;=$L$12,$M$12,INDEX($M$11:$M$12,MATCH(($B$4+G184),$L$11:$L$12,1))+(INDEX($M$11:$M$12,MATCH(($B$4+G184),$L$11:$L$12,1)+1)-INDEX($M$11:$M$12,MATCH(($B$4+G184),$L$11:$L$12,1)))*(($B$4+G184)-INDEX($L$11:$L$12,MATCH(($B$4+G184),$L$11:$L$12,1)))/(INDEX($L$11:$L$12,MATCH(($B$4+G184),$L$11:$L$12,1)+1)-INDEX($L$11:$L$12,MATCH(($B$4+G184),$L$11:$L$12,1)))))),1)</f>
        <v>1</v>
      </c>
    </row>
    <row r="185" customFormat="false" ht="15" hidden="false" customHeight="false" outlineLevel="0" collapsed="false">
      <c r="A185" s="32" t="n">
        <f aca="false">$B$32+0.125+125*0.25</f>
        <v>54.485</v>
      </c>
      <c r="B185" s="27" t="n">
        <f aca="false">IF(A185&lt;$B$31,1,0)</f>
        <v>1</v>
      </c>
      <c r="C185" s="43" t="n">
        <f aca="false">IF($B$7="Oui",1+((IF(($B$4+A185)&lt;=$I$11,$J$11,IF(($B$4+A185)&gt;=$I$33,$J$33,INDEX($J$11:$J$33,MATCH(($B$4+A185),$I$11:$I$33,1))+(INDEX($J$11:$J$33,MATCH(($B$4+A185),$I$11:$I$33,1)+1)-INDEX($J$11:$J$33,MATCH(($B$4+A185),$I$11:$I$33,1)))*(($B$4+A185)-INDEX($I$11:$I$33,MATCH(($B$4+A185),$I$11:$I$33,1)))/(INDEX($I$11:$I$33,MATCH(($B$4+A185),$I$11:$I$33,1)+1)-INDEX($I$11:$I$33,MATCH(($B$4+A185),$I$11:$I$33,1))))))-(IF(($B$4+A185)&lt;=$L$11,$M$11,IF(($B$4+A185)&gt;=$L$12,$M$12,INDEX($M$11:$M$12,MATCH(($B$4+A185),$L$11:$L$12,1))+(INDEX($M$11:$M$12,MATCH(($B$4+A185),$L$11:$L$12,1)+1)-INDEX($M$11:$M$12,MATCH(($B$4+A185),$L$11:$L$12,1)))*(($B$4+A185)-INDEX($L$11:$L$12,MATCH(($B$4+A185),$L$11:$L$12,1)))/(INDEX($L$11:$L$12,MATCH(($B$4+A185),$L$11:$L$12,1)+1)-INDEX($L$11:$L$12,MATCH(($B$4+A185),$L$11:$L$12,1)))))))/(1-(IF(($B$4+A185)&lt;=$I$11,$J$11,IF(($B$4+A185)&gt;=$I$33,$J$33,INDEX($J$11:$J$33,MATCH(($B$4+A185),$I$11:$I$33,1))+(INDEX($J$11:$J$33,MATCH(($B$4+A185),$I$11:$I$33,1)+1)-INDEX($J$11:$J$33,MATCH(($B$4+A185),$I$11:$I$33,1)))*(($B$4+A185)-INDEX($I$11:$I$33,MATCH(($B$4+A185),$I$11:$I$33,1)))/(INDEX($I$11:$I$33,MATCH(($B$4+A185),$I$11:$I$33,1)+1)-INDEX($I$11:$I$33,MATCH(($B$4+A185),$I$11:$I$33,1))))))),1)</f>
        <v>1</v>
      </c>
      <c r="D185" s="43" t="n">
        <f aca="false">B185*(1+$B$30)^(-A185)</f>
        <v>0.51872133203169</v>
      </c>
      <c r="E185" s="43" t="n">
        <f aca="false">B185*C185*(1+$B$5)^(-A185)</f>
        <v>1</v>
      </c>
      <c r="G185" s="32" t="n">
        <f aca="false">$B$31+0.125+125*0.25</f>
        <v>93.815</v>
      </c>
      <c r="H185" s="27" t="n">
        <f aca="false">IF(G185&lt;$B$33,1,0)</f>
        <v>0</v>
      </c>
      <c r="I185" s="43" t="n">
        <f aca="false">H185*(1-$B$6)^(G185-$B$31)*(1+$B$30)^(-G185)</f>
        <v>0</v>
      </c>
      <c r="J185" s="43" t="n">
        <f aca="false">H185*(1-$B$6)^(G185-$B$31)*L185*(1+$B$5)^(-G185)</f>
        <v>0</v>
      </c>
      <c r="L185" s="43" t="n">
        <f aca="false">IF($B$7="Oui",1-(IF(($B$4+G185)&lt;=$L$11,$M$11,IF(($B$4+G185)&gt;=$L$12,$M$12,INDEX($M$11:$M$12,MATCH(($B$4+G185),$L$11:$L$12,1))+(INDEX($M$11:$M$12,MATCH(($B$4+G185),$L$11:$L$12,1)+1)-INDEX($M$11:$M$12,MATCH(($B$4+G185),$L$11:$L$12,1)))*(($B$4+G185)-INDEX($L$11:$L$12,MATCH(($B$4+G185),$L$11:$L$12,1)))/(INDEX($L$11:$L$12,MATCH(($B$4+G185),$L$11:$L$12,1)+1)-INDEX($L$11:$L$12,MATCH(($B$4+G185),$L$11:$L$12,1)))))),1)</f>
        <v>1</v>
      </c>
    </row>
    <row r="186" customFormat="false" ht="15" hidden="false" customHeight="false" outlineLevel="0" collapsed="false">
      <c r="A186" s="32" t="n">
        <f aca="false">$B$32+0.125+126*0.25</f>
        <v>54.735</v>
      </c>
      <c r="B186" s="27" t="n">
        <f aca="false">IF(A186&lt;$B$31,1,0)</f>
        <v>1</v>
      </c>
      <c r="C186" s="43" t="n">
        <f aca="false">IF($B$7="Oui",1+((IF(($B$4+A186)&lt;=$I$11,$J$11,IF(($B$4+A186)&gt;=$I$33,$J$33,INDEX($J$11:$J$33,MATCH(($B$4+A186),$I$11:$I$33,1))+(INDEX($J$11:$J$33,MATCH(($B$4+A186),$I$11:$I$33,1)+1)-INDEX($J$11:$J$33,MATCH(($B$4+A186),$I$11:$I$33,1)))*(($B$4+A186)-INDEX($I$11:$I$33,MATCH(($B$4+A186),$I$11:$I$33,1)))/(INDEX($I$11:$I$33,MATCH(($B$4+A186),$I$11:$I$33,1)+1)-INDEX($I$11:$I$33,MATCH(($B$4+A186),$I$11:$I$33,1))))))-(IF(($B$4+A186)&lt;=$L$11,$M$11,IF(($B$4+A186)&gt;=$L$12,$M$12,INDEX($M$11:$M$12,MATCH(($B$4+A186),$L$11:$L$12,1))+(INDEX($M$11:$M$12,MATCH(($B$4+A186),$L$11:$L$12,1)+1)-INDEX($M$11:$M$12,MATCH(($B$4+A186),$L$11:$L$12,1)))*(($B$4+A186)-INDEX($L$11:$L$12,MATCH(($B$4+A186),$L$11:$L$12,1)))/(INDEX($L$11:$L$12,MATCH(($B$4+A186),$L$11:$L$12,1)+1)-INDEX($L$11:$L$12,MATCH(($B$4+A186),$L$11:$L$12,1)))))))/(1-(IF(($B$4+A186)&lt;=$I$11,$J$11,IF(($B$4+A186)&gt;=$I$33,$J$33,INDEX($J$11:$J$33,MATCH(($B$4+A186),$I$11:$I$33,1))+(INDEX($J$11:$J$33,MATCH(($B$4+A186),$I$11:$I$33,1)+1)-INDEX($J$11:$J$33,MATCH(($B$4+A186),$I$11:$I$33,1)))*(($B$4+A186)-INDEX($I$11:$I$33,MATCH(($B$4+A186),$I$11:$I$33,1)))/(INDEX($I$11:$I$33,MATCH(($B$4+A186),$I$11:$I$33,1)+1)-INDEX($I$11:$I$33,MATCH(($B$4+A186),$I$11:$I$33,1))))))),1)</f>
        <v>1</v>
      </c>
      <c r="D186" s="43" t="n">
        <f aca="false">B186*(1+$B$30)^(-A186)</f>
        <v>0.517161405048279</v>
      </c>
      <c r="E186" s="43" t="n">
        <f aca="false">B186*C186*(1+$B$5)^(-A186)</f>
        <v>1</v>
      </c>
      <c r="G186" s="32" t="n">
        <f aca="false">$B$31+0.125+126*0.25</f>
        <v>94.065</v>
      </c>
      <c r="H186" s="27" t="n">
        <f aca="false">IF(G186&lt;$B$33,1,0)</f>
        <v>0</v>
      </c>
      <c r="I186" s="43" t="n">
        <f aca="false">H186*(1-$B$6)^(G186-$B$31)*(1+$B$30)^(-G186)</f>
        <v>0</v>
      </c>
      <c r="J186" s="43" t="n">
        <f aca="false">H186*(1-$B$6)^(G186-$B$31)*L186*(1+$B$5)^(-G186)</f>
        <v>0</v>
      </c>
      <c r="L186" s="43" t="n">
        <f aca="false">IF($B$7="Oui",1-(IF(($B$4+G186)&lt;=$L$11,$M$11,IF(($B$4+G186)&gt;=$L$12,$M$12,INDEX($M$11:$M$12,MATCH(($B$4+G186),$L$11:$L$12,1))+(INDEX($M$11:$M$12,MATCH(($B$4+G186),$L$11:$L$12,1)+1)-INDEX($M$11:$M$12,MATCH(($B$4+G186),$L$11:$L$12,1)))*(($B$4+G186)-INDEX($L$11:$L$12,MATCH(($B$4+G186),$L$11:$L$12,1)))/(INDEX($L$11:$L$12,MATCH(($B$4+G186),$L$11:$L$12,1)+1)-INDEX($L$11:$L$12,MATCH(($B$4+G186),$L$11:$L$12,1)))))),1)</f>
        <v>1</v>
      </c>
    </row>
    <row r="187" customFormat="false" ht="15" hidden="false" customHeight="false" outlineLevel="0" collapsed="false">
      <c r="A187" s="32" t="n">
        <f aca="false">$B$32+0.125+127*0.25</f>
        <v>54.985</v>
      </c>
      <c r="B187" s="27" t="n">
        <f aca="false">IF(A187&lt;$B$31,1,0)</f>
        <v>1</v>
      </c>
      <c r="C187" s="43" t="n">
        <f aca="false">IF($B$7="Oui",1+((IF(($B$4+A187)&lt;=$I$11,$J$11,IF(($B$4+A187)&gt;=$I$33,$J$33,INDEX($J$11:$J$33,MATCH(($B$4+A187),$I$11:$I$33,1))+(INDEX($J$11:$J$33,MATCH(($B$4+A187),$I$11:$I$33,1)+1)-INDEX($J$11:$J$33,MATCH(($B$4+A187),$I$11:$I$33,1)))*(($B$4+A187)-INDEX($I$11:$I$33,MATCH(($B$4+A187),$I$11:$I$33,1)))/(INDEX($I$11:$I$33,MATCH(($B$4+A187),$I$11:$I$33,1)+1)-INDEX($I$11:$I$33,MATCH(($B$4+A187),$I$11:$I$33,1))))))-(IF(($B$4+A187)&lt;=$L$11,$M$11,IF(($B$4+A187)&gt;=$L$12,$M$12,INDEX($M$11:$M$12,MATCH(($B$4+A187),$L$11:$L$12,1))+(INDEX($M$11:$M$12,MATCH(($B$4+A187),$L$11:$L$12,1)+1)-INDEX($M$11:$M$12,MATCH(($B$4+A187),$L$11:$L$12,1)))*(($B$4+A187)-INDEX($L$11:$L$12,MATCH(($B$4+A187),$L$11:$L$12,1)))/(INDEX($L$11:$L$12,MATCH(($B$4+A187),$L$11:$L$12,1)+1)-INDEX($L$11:$L$12,MATCH(($B$4+A187),$L$11:$L$12,1)))))))/(1-(IF(($B$4+A187)&lt;=$I$11,$J$11,IF(($B$4+A187)&gt;=$I$33,$J$33,INDEX($J$11:$J$33,MATCH(($B$4+A187),$I$11:$I$33,1))+(INDEX($J$11:$J$33,MATCH(($B$4+A187),$I$11:$I$33,1)+1)-INDEX($J$11:$J$33,MATCH(($B$4+A187),$I$11:$I$33,1)))*(($B$4+A187)-INDEX($I$11:$I$33,MATCH(($B$4+A187),$I$11:$I$33,1)))/(INDEX($I$11:$I$33,MATCH(($B$4+A187),$I$11:$I$33,1)+1)-INDEX($I$11:$I$33,MATCH(($B$4+A187),$I$11:$I$33,1))))))),1)</f>
        <v>1</v>
      </c>
      <c r="D187" s="43" t="n">
        <f aca="false">B187*(1+$B$30)^(-A187)</f>
        <v>0.515606169162078</v>
      </c>
      <c r="E187" s="43" t="n">
        <f aca="false">B187*C187*(1+$B$5)^(-A187)</f>
        <v>1</v>
      </c>
      <c r="G187" s="32" t="n">
        <f aca="false">$B$31+0.125+127*0.25</f>
        <v>94.315</v>
      </c>
      <c r="H187" s="27" t="n">
        <f aca="false">IF(G187&lt;$B$33,1,0)</f>
        <v>0</v>
      </c>
      <c r="I187" s="43" t="n">
        <f aca="false">H187*(1-$B$6)^(G187-$B$31)*(1+$B$30)^(-G187)</f>
        <v>0</v>
      </c>
      <c r="J187" s="43" t="n">
        <f aca="false">H187*(1-$B$6)^(G187-$B$31)*L187*(1+$B$5)^(-G187)</f>
        <v>0</v>
      </c>
      <c r="L187" s="43" t="n">
        <f aca="false">IF($B$7="Oui",1-(IF(($B$4+G187)&lt;=$L$11,$M$11,IF(($B$4+G187)&gt;=$L$12,$M$12,INDEX($M$11:$M$12,MATCH(($B$4+G187),$L$11:$L$12,1))+(INDEX($M$11:$M$12,MATCH(($B$4+G187),$L$11:$L$12,1)+1)-INDEX($M$11:$M$12,MATCH(($B$4+G187),$L$11:$L$12,1)))*(($B$4+G187)-INDEX($L$11:$L$12,MATCH(($B$4+G187),$L$11:$L$12,1)))/(INDEX($L$11:$L$12,MATCH(($B$4+G187),$L$11:$L$12,1)+1)-INDEX($L$11:$L$12,MATCH(($B$4+G187),$L$11:$L$12,1)))))),1)</f>
        <v>1</v>
      </c>
    </row>
    <row r="188" customFormat="false" ht="15" hidden="false" customHeight="false" outlineLevel="0" collapsed="false">
      <c r="A188" s="32" t="n">
        <f aca="false">$B$32+0.125+128*0.25</f>
        <v>55.235</v>
      </c>
      <c r="B188" s="27" t="n">
        <f aca="false">IF(A188&lt;$B$31,1,0)</f>
        <v>1</v>
      </c>
      <c r="C188" s="43" t="n">
        <f aca="false">IF($B$7="Oui",1+((IF(($B$4+A188)&lt;=$I$11,$J$11,IF(($B$4+A188)&gt;=$I$33,$J$33,INDEX($J$11:$J$33,MATCH(($B$4+A188),$I$11:$I$33,1))+(INDEX($J$11:$J$33,MATCH(($B$4+A188),$I$11:$I$33,1)+1)-INDEX($J$11:$J$33,MATCH(($B$4+A188),$I$11:$I$33,1)))*(($B$4+A188)-INDEX($I$11:$I$33,MATCH(($B$4+A188),$I$11:$I$33,1)))/(INDEX($I$11:$I$33,MATCH(($B$4+A188),$I$11:$I$33,1)+1)-INDEX($I$11:$I$33,MATCH(($B$4+A188),$I$11:$I$33,1))))))-(IF(($B$4+A188)&lt;=$L$11,$M$11,IF(($B$4+A188)&gt;=$L$12,$M$12,INDEX($M$11:$M$12,MATCH(($B$4+A188),$L$11:$L$12,1))+(INDEX($M$11:$M$12,MATCH(($B$4+A188),$L$11:$L$12,1)+1)-INDEX($M$11:$M$12,MATCH(($B$4+A188),$L$11:$L$12,1)))*(($B$4+A188)-INDEX($L$11:$L$12,MATCH(($B$4+A188),$L$11:$L$12,1)))/(INDEX($L$11:$L$12,MATCH(($B$4+A188),$L$11:$L$12,1)+1)-INDEX($L$11:$L$12,MATCH(($B$4+A188),$L$11:$L$12,1)))))))/(1-(IF(($B$4+A188)&lt;=$I$11,$J$11,IF(($B$4+A188)&gt;=$I$33,$J$33,INDEX($J$11:$J$33,MATCH(($B$4+A188),$I$11:$I$33,1))+(INDEX($J$11:$J$33,MATCH(($B$4+A188),$I$11:$I$33,1)+1)-INDEX($J$11:$J$33,MATCH(($B$4+A188),$I$11:$I$33,1)))*(($B$4+A188)-INDEX($I$11:$I$33,MATCH(($B$4+A188),$I$11:$I$33,1)))/(INDEX($I$11:$I$33,MATCH(($B$4+A188),$I$11:$I$33,1)+1)-INDEX($I$11:$I$33,MATCH(($B$4+A188),$I$11:$I$33,1))))))),1)</f>
        <v>1</v>
      </c>
      <c r="D188" s="43" t="n">
        <f aca="false">B188*(1+$B$30)^(-A188)</f>
        <v>0.514055610265765</v>
      </c>
      <c r="E188" s="43" t="n">
        <f aca="false">B188*C188*(1+$B$5)^(-A188)</f>
        <v>1</v>
      </c>
      <c r="G188" s="32" t="n">
        <f aca="false">$B$31+0.125+128*0.25</f>
        <v>94.565</v>
      </c>
      <c r="H188" s="27" t="n">
        <f aca="false">IF(G188&lt;$B$33,1,0)</f>
        <v>0</v>
      </c>
      <c r="I188" s="43" t="n">
        <f aca="false">H188*(1-$B$6)^(G188-$B$31)*(1+$B$30)^(-G188)</f>
        <v>0</v>
      </c>
      <c r="J188" s="43" t="n">
        <f aca="false">H188*(1-$B$6)^(G188-$B$31)*L188*(1+$B$5)^(-G188)</f>
        <v>0</v>
      </c>
      <c r="L188" s="43" t="n">
        <f aca="false">IF($B$7="Oui",1-(IF(($B$4+G188)&lt;=$L$11,$M$11,IF(($B$4+G188)&gt;=$L$12,$M$12,INDEX($M$11:$M$12,MATCH(($B$4+G188),$L$11:$L$12,1))+(INDEX($M$11:$M$12,MATCH(($B$4+G188),$L$11:$L$12,1)+1)-INDEX($M$11:$M$12,MATCH(($B$4+G188),$L$11:$L$12,1)))*(($B$4+G188)-INDEX($L$11:$L$12,MATCH(($B$4+G188),$L$11:$L$12,1)))/(INDEX($L$11:$L$12,MATCH(($B$4+G188),$L$11:$L$12,1)+1)-INDEX($L$11:$L$12,MATCH(($B$4+G188),$L$11:$L$12,1)))))),1)</f>
        <v>1</v>
      </c>
    </row>
    <row r="189" customFormat="false" ht="15" hidden="false" customHeight="false" outlineLevel="0" collapsed="false">
      <c r="A189" s="32" t="n">
        <f aca="false">$B$32+0.125+129*0.25</f>
        <v>55.485</v>
      </c>
      <c r="B189" s="27" t="n">
        <f aca="false">IF(A189&lt;$B$31,1,0)</f>
        <v>1</v>
      </c>
      <c r="C189" s="43" t="n">
        <f aca="false">IF($B$7="Oui",1+((IF(($B$4+A189)&lt;=$I$11,$J$11,IF(($B$4+A189)&gt;=$I$33,$J$33,INDEX($J$11:$J$33,MATCH(($B$4+A189),$I$11:$I$33,1))+(INDEX($J$11:$J$33,MATCH(($B$4+A189),$I$11:$I$33,1)+1)-INDEX($J$11:$J$33,MATCH(($B$4+A189),$I$11:$I$33,1)))*(($B$4+A189)-INDEX($I$11:$I$33,MATCH(($B$4+A189),$I$11:$I$33,1)))/(INDEX($I$11:$I$33,MATCH(($B$4+A189),$I$11:$I$33,1)+1)-INDEX($I$11:$I$33,MATCH(($B$4+A189),$I$11:$I$33,1))))))-(IF(($B$4+A189)&lt;=$L$11,$M$11,IF(($B$4+A189)&gt;=$L$12,$M$12,INDEX($M$11:$M$12,MATCH(($B$4+A189),$L$11:$L$12,1))+(INDEX($M$11:$M$12,MATCH(($B$4+A189),$L$11:$L$12,1)+1)-INDEX($M$11:$M$12,MATCH(($B$4+A189),$L$11:$L$12,1)))*(($B$4+A189)-INDEX($L$11:$L$12,MATCH(($B$4+A189),$L$11:$L$12,1)))/(INDEX($L$11:$L$12,MATCH(($B$4+A189),$L$11:$L$12,1)+1)-INDEX($L$11:$L$12,MATCH(($B$4+A189),$L$11:$L$12,1)))))))/(1-(IF(($B$4+A189)&lt;=$I$11,$J$11,IF(($B$4+A189)&gt;=$I$33,$J$33,INDEX($J$11:$J$33,MATCH(($B$4+A189),$I$11:$I$33,1))+(INDEX($J$11:$J$33,MATCH(($B$4+A189),$I$11:$I$33,1)+1)-INDEX($J$11:$J$33,MATCH(($B$4+A189),$I$11:$I$33,1)))*(($B$4+A189)-INDEX($I$11:$I$33,MATCH(($B$4+A189),$I$11:$I$33,1)))/(INDEX($I$11:$I$33,MATCH(($B$4+A189),$I$11:$I$33,1)+1)-INDEX($I$11:$I$33,MATCH(($B$4+A189),$I$11:$I$33,1))))))),1)</f>
        <v>1</v>
      </c>
      <c r="D189" s="43" t="n">
        <f aca="false">B189*(1+$B$30)^(-A189)</f>
        <v>0.512509714294442</v>
      </c>
      <c r="E189" s="43" t="n">
        <f aca="false">B189*C189*(1+$B$5)^(-A189)</f>
        <v>1</v>
      </c>
      <c r="G189" s="32" t="n">
        <f aca="false">$B$31+0.125+129*0.25</f>
        <v>94.815</v>
      </c>
      <c r="H189" s="27" t="n">
        <f aca="false">IF(G189&lt;$B$33,1,0)</f>
        <v>0</v>
      </c>
      <c r="I189" s="43" t="n">
        <f aca="false">H189*(1-$B$6)^(G189-$B$31)*(1+$B$30)^(-G189)</f>
        <v>0</v>
      </c>
      <c r="J189" s="43" t="n">
        <f aca="false">H189*(1-$B$6)^(G189-$B$31)*L189*(1+$B$5)^(-G189)</f>
        <v>0</v>
      </c>
      <c r="L189" s="43" t="n">
        <f aca="false">IF($B$7="Oui",1-(IF(($B$4+G189)&lt;=$L$11,$M$11,IF(($B$4+G189)&gt;=$L$12,$M$12,INDEX($M$11:$M$12,MATCH(($B$4+G189),$L$11:$L$12,1))+(INDEX($M$11:$M$12,MATCH(($B$4+G189),$L$11:$L$12,1)+1)-INDEX($M$11:$M$12,MATCH(($B$4+G189),$L$11:$L$12,1)))*(($B$4+G189)-INDEX($L$11:$L$12,MATCH(($B$4+G189),$L$11:$L$12,1)))/(INDEX($L$11:$L$12,MATCH(($B$4+G189),$L$11:$L$12,1)+1)-INDEX($L$11:$L$12,MATCH(($B$4+G189),$L$11:$L$12,1)))))),1)</f>
        <v>1</v>
      </c>
    </row>
    <row r="190" customFormat="false" ht="15" hidden="false" customHeight="false" outlineLevel="0" collapsed="false">
      <c r="A190" s="32" t="n">
        <f aca="false">$B$32+0.125+130*0.25</f>
        <v>55.735</v>
      </c>
      <c r="B190" s="27" t="n">
        <f aca="false">IF(A190&lt;$B$31,1,0)</f>
        <v>1</v>
      </c>
      <c r="C190" s="43" t="n">
        <f aca="false">IF($B$7="Oui",1+((IF(($B$4+A190)&lt;=$I$11,$J$11,IF(($B$4+A190)&gt;=$I$33,$J$33,INDEX($J$11:$J$33,MATCH(($B$4+A190),$I$11:$I$33,1))+(INDEX($J$11:$J$33,MATCH(($B$4+A190),$I$11:$I$33,1)+1)-INDEX($J$11:$J$33,MATCH(($B$4+A190),$I$11:$I$33,1)))*(($B$4+A190)-INDEX($I$11:$I$33,MATCH(($B$4+A190),$I$11:$I$33,1)))/(INDEX($I$11:$I$33,MATCH(($B$4+A190),$I$11:$I$33,1)+1)-INDEX($I$11:$I$33,MATCH(($B$4+A190),$I$11:$I$33,1))))))-(IF(($B$4+A190)&lt;=$L$11,$M$11,IF(($B$4+A190)&gt;=$L$12,$M$12,INDEX($M$11:$M$12,MATCH(($B$4+A190),$L$11:$L$12,1))+(INDEX($M$11:$M$12,MATCH(($B$4+A190),$L$11:$L$12,1)+1)-INDEX($M$11:$M$12,MATCH(($B$4+A190),$L$11:$L$12,1)))*(($B$4+A190)-INDEX($L$11:$L$12,MATCH(($B$4+A190),$L$11:$L$12,1)))/(INDEX($L$11:$L$12,MATCH(($B$4+A190),$L$11:$L$12,1)+1)-INDEX($L$11:$L$12,MATCH(($B$4+A190),$L$11:$L$12,1)))))))/(1-(IF(($B$4+A190)&lt;=$I$11,$J$11,IF(($B$4+A190)&gt;=$I$33,$J$33,INDEX($J$11:$J$33,MATCH(($B$4+A190),$I$11:$I$33,1))+(INDEX($J$11:$J$33,MATCH(($B$4+A190),$I$11:$I$33,1)+1)-INDEX($J$11:$J$33,MATCH(($B$4+A190),$I$11:$I$33,1)))*(($B$4+A190)-INDEX($I$11:$I$33,MATCH(($B$4+A190),$I$11:$I$33,1)))/(INDEX($I$11:$I$33,MATCH(($B$4+A190),$I$11:$I$33,1)+1)-INDEX($I$11:$I$33,MATCH(($B$4+A190),$I$11:$I$33,1))))))),1)</f>
        <v>1</v>
      </c>
      <c r="D190" s="43" t="n">
        <f aca="false">B190*(1+$B$30)^(-A190)</f>
        <v>0.510968467225506</v>
      </c>
      <c r="E190" s="43" t="n">
        <f aca="false">B190*C190*(1+$B$5)^(-A190)</f>
        <v>1</v>
      </c>
      <c r="G190" s="32" t="n">
        <f aca="false">$B$31+0.125+130*0.25</f>
        <v>95.065</v>
      </c>
      <c r="H190" s="27" t="n">
        <f aca="false">IF(G190&lt;$B$33,1,0)</f>
        <v>0</v>
      </c>
      <c r="I190" s="43" t="n">
        <f aca="false">H190*(1-$B$6)^(G190-$B$31)*(1+$B$30)^(-G190)</f>
        <v>0</v>
      </c>
      <c r="J190" s="43" t="n">
        <f aca="false">H190*(1-$B$6)^(G190-$B$31)*L190*(1+$B$5)^(-G190)</f>
        <v>0</v>
      </c>
      <c r="L190" s="43" t="n">
        <f aca="false">IF($B$7="Oui",1-(IF(($B$4+G190)&lt;=$L$11,$M$11,IF(($B$4+G190)&gt;=$L$12,$M$12,INDEX($M$11:$M$12,MATCH(($B$4+G190),$L$11:$L$12,1))+(INDEX($M$11:$M$12,MATCH(($B$4+G190),$L$11:$L$12,1)+1)-INDEX($M$11:$M$12,MATCH(($B$4+G190),$L$11:$L$12,1)))*(($B$4+G190)-INDEX($L$11:$L$12,MATCH(($B$4+G190),$L$11:$L$12,1)))/(INDEX($L$11:$L$12,MATCH(($B$4+G190),$L$11:$L$12,1)+1)-INDEX($L$11:$L$12,MATCH(($B$4+G190),$L$11:$L$12,1)))))),1)</f>
        <v>1</v>
      </c>
    </row>
    <row r="191" customFormat="false" ht="15" hidden="false" customHeight="false" outlineLevel="0" collapsed="false">
      <c r="A191" s="32" t="n">
        <f aca="false">$B$32+0.125+131*0.25</f>
        <v>55.985</v>
      </c>
      <c r="B191" s="27" t="n">
        <f aca="false">IF(A191&lt;$B$31,1,0)</f>
        <v>1</v>
      </c>
      <c r="C191" s="43" t="n">
        <f aca="false">IF($B$7="Oui",1+((IF(($B$4+A191)&lt;=$I$11,$J$11,IF(($B$4+A191)&gt;=$I$33,$J$33,INDEX($J$11:$J$33,MATCH(($B$4+A191),$I$11:$I$33,1))+(INDEX($J$11:$J$33,MATCH(($B$4+A191),$I$11:$I$33,1)+1)-INDEX($J$11:$J$33,MATCH(($B$4+A191),$I$11:$I$33,1)))*(($B$4+A191)-INDEX($I$11:$I$33,MATCH(($B$4+A191),$I$11:$I$33,1)))/(INDEX($I$11:$I$33,MATCH(($B$4+A191),$I$11:$I$33,1)+1)-INDEX($I$11:$I$33,MATCH(($B$4+A191),$I$11:$I$33,1))))))-(IF(($B$4+A191)&lt;=$L$11,$M$11,IF(($B$4+A191)&gt;=$L$12,$M$12,INDEX($M$11:$M$12,MATCH(($B$4+A191),$L$11:$L$12,1))+(INDEX($M$11:$M$12,MATCH(($B$4+A191),$L$11:$L$12,1)+1)-INDEX($M$11:$M$12,MATCH(($B$4+A191),$L$11:$L$12,1)))*(($B$4+A191)-INDEX($L$11:$L$12,MATCH(($B$4+A191),$L$11:$L$12,1)))/(INDEX($L$11:$L$12,MATCH(($B$4+A191),$L$11:$L$12,1)+1)-INDEX($L$11:$L$12,MATCH(($B$4+A191),$L$11:$L$12,1)))))))/(1-(IF(($B$4+A191)&lt;=$I$11,$J$11,IF(($B$4+A191)&gt;=$I$33,$J$33,INDEX($J$11:$J$33,MATCH(($B$4+A191),$I$11:$I$33,1))+(INDEX($J$11:$J$33,MATCH(($B$4+A191),$I$11:$I$33,1)+1)-INDEX($J$11:$J$33,MATCH(($B$4+A191),$I$11:$I$33,1)))*(($B$4+A191)-INDEX($I$11:$I$33,MATCH(($B$4+A191),$I$11:$I$33,1)))/(INDEX($I$11:$I$33,MATCH(($B$4+A191),$I$11:$I$33,1)+1)-INDEX($I$11:$I$33,MATCH(($B$4+A191),$I$11:$I$33,1))))))),1)</f>
        <v>1</v>
      </c>
      <c r="D191" s="43" t="n">
        <f aca="false">B191*(1+$B$30)^(-A191)</f>
        <v>0.509431855078527</v>
      </c>
      <c r="E191" s="43" t="n">
        <f aca="false">B191*C191*(1+$B$5)^(-A191)</f>
        <v>1</v>
      </c>
      <c r="G191" s="32" t="n">
        <f aca="false">$B$31+0.125+131*0.25</f>
        <v>95.315</v>
      </c>
      <c r="H191" s="27" t="n">
        <f aca="false">IF(G191&lt;$B$33,1,0)</f>
        <v>0</v>
      </c>
      <c r="I191" s="43" t="n">
        <f aca="false">H191*(1-$B$6)^(G191-$B$31)*(1+$B$30)^(-G191)</f>
        <v>0</v>
      </c>
      <c r="J191" s="43" t="n">
        <f aca="false">H191*(1-$B$6)^(G191-$B$31)*L191*(1+$B$5)^(-G191)</f>
        <v>0</v>
      </c>
      <c r="L191" s="43" t="n">
        <f aca="false">IF($B$7="Oui",1-(IF(($B$4+G191)&lt;=$L$11,$M$11,IF(($B$4+G191)&gt;=$L$12,$M$12,INDEX($M$11:$M$12,MATCH(($B$4+G191),$L$11:$L$12,1))+(INDEX($M$11:$M$12,MATCH(($B$4+G191),$L$11:$L$12,1)+1)-INDEX($M$11:$M$12,MATCH(($B$4+G191),$L$11:$L$12,1)))*(($B$4+G191)-INDEX($L$11:$L$12,MATCH(($B$4+G191),$L$11:$L$12,1)))/(INDEX($L$11:$L$12,MATCH(($B$4+G191),$L$11:$L$12,1)+1)-INDEX($L$11:$L$12,MATCH(($B$4+G191),$L$11:$L$12,1)))))),1)</f>
        <v>1</v>
      </c>
    </row>
    <row r="192" customFormat="false" ht="15" hidden="false" customHeight="false" outlineLevel="0" collapsed="false">
      <c r="A192" s="32" t="n">
        <f aca="false">$B$32+0.125+132*0.25</f>
        <v>56.235</v>
      </c>
      <c r="B192" s="27" t="n">
        <f aca="false">IF(A192&lt;$B$31,1,0)</f>
        <v>1</v>
      </c>
      <c r="C192" s="43" t="n">
        <f aca="false">IF($B$7="Oui",1+((IF(($B$4+A192)&lt;=$I$11,$J$11,IF(($B$4+A192)&gt;=$I$33,$J$33,INDEX($J$11:$J$33,MATCH(($B$4+A192),$I$11:$I$33,1))+(INDEX($J$11:$J$33,MATCH(($B$4+A192),$I$11:$I$33,1)+1)-INDEX($J$11:$J$33,MATCH(($B$4+A192),$I$11:$I$33,1)))*(($B$4+A192)-INDEX($I$11:$I$33,MATCH(($B$4+A192),$I$11:$I$33,1)))/(INDEX($I$11:$I$33,MATCH(($B$4+A192),$I$11:$I$33,1)+1)-INDEX($I$11:$I$33,MATCH(($B$4+A192),$I$11:$I$33,1))))))-(IF(($B$4+A192)&lt;=$L$11,$M$11,IF(($B$4+A192)&gt;=$L$12,$M$12,INDEX($M$11:$M$12,MATCH(($B$4+A192),$L$11:$L$12,1))+(INDEX($M$11:$M$12,MATCH(($B$4+A192),$L$11:$L$12,1)+1)-INDEX($M$11:$M$12,MATCH(($B$4+A192),$L$11:$L$12,1)))*(($B$4+A192)-INDEX($L$11:$L$12,MATCH(($B$4+A192),$L$11:$L$12,1)))/(INDEX($L$11:$L$12,MATCH(($B$4+A192),$L$11:$L$12,1)+1)-INDEX($L$11:$L$12,MATCH(($B$4+A192),$L$11:$L$12,1)))))))/(1-(IF(($B$4+A192)&lt;=$I$11,$J$11,IF(($B$4+A192)&gt;=$I$33,$J$33,INDEX($J$11:$J$33,MATCH(($B$4+A192),$I$11:$I$33,1))+(INDEX($J$11:$J$33,MATCH(($B$4+A192),$I$11:$I$33,1)+1)-INDEX($J$11:$J$33,MATCH(($B$4+A192),$I$11:$I$33,1)))*(($B$4+A192)-INDEX($I$11:$I$33,MATCH(($B$4+A192),$I$11:$I$33,1)))/(INDEX($I$11:$I$33,MATCH(($B$4+A192),$I$11:$I$33,1)+1)-INDEX($I$11:$I$33,MATCH(($B$4+A192),$I$11:$I$33,1))))))),1)</f>
        <v>1</v>
      </c>
      <c r="D192" s="43" t="n">
        <f aca="false">B192*(1+$B$30)^(-A192)</f>
        <v>0.507899863915114</v>
      </c>
      <c r="E192" s="43" t="n">
        <f aca="false">B192*C192*(1+$B$5)^(-A192)</f>
        <v>1</v>
      </c>
      <c r="G192" s="32" t="n">
        <f aca="false">$B$31+0.125+132*0.25</f>
        <v>95.565</v>
      </c>
      <c r="H192" s="27" t="n">
        <f aca="false">IF(G192&lt;$B$33,1,0)</f>
        <v>0</v>
      </c>
      <c r="I192" s="43" t="n">
        <f aca="false">H192*(1-$B$6)^(G192-$B$31)*(1+$B$30)^(-G192)</f>
        <v>0</v>
      </c>
      <c r="J192" s="43" t="n">
        <f aca="false">H192*(1-$B$6)^(G192-$B$31)*L192*(1+$B$5)^(-G192)</f>
        <v>0</v>
      </c>
      <c r="L192" s="43" t="n">
        <f aca="false">IF($B$7="Oui",1-(IF(($B$4+G192)&lt;=$L$11,$M$11,IF(($B$4+G192)&gt;=$L$12,$M$12,INDEX($M$11:$M$12,MATCH(($B$4+G192),$L$11:$L$12,1))+(INDEX($M$11:$M$12,MATCH(($B$4+G192),$L$11:$L$12,1)+1)-INDEX($M$11:$M$12,MATCH(($B$4+G192),$L$11:$L$12,1)))*(($B$4+G192)-INDEX($L$11:$L$12,MATCH(($B$4+G192),$L$11:$L$12,1)))/(INDEX($L$11:$L$12,MATCH(($B$4+G192),$L$11:$L$12,1)+1)-INDEX($L$11:$L$12,MATCH(($B$4+G192),$L$11:$L$12,1)))))),1)</f>
        <v>1</v>
      </c>
    </row>
    <row r="193" customFormat="false" ht="15" hidden="false" customHeight="false" outlineLevel="0" collapsed="false">
      <c r="A193" s="32" t="n">
        <f aca="false">$B$32+0.125+133*0.25</f>
        <v>56.485</v>
      </c>
      <c r="B193" s="27" t="n">
        <f aca="false">IF(A193&lt;$B$31,1,0)</f>
        <v>1</v>
      </c>
      <c r="C193" s="43" t="n">
        <f aca="false">IF($B$7="Oui",1+((IF(($B$4+A193)&lt;=$I$11,$J$11,IF(($B$4+A193)&gt;=$I$33,$J$33,INDEX($J$11:$J$33,MATCH(($B$4+A193),$I$11:$I$33,1))+(INDEX($J$11:$J$33,MATCH(($B$4+A193),$I$11:$I$33,1)+1)-INDEX($J$11:$J$33,MATCH(($B$4+A193),$I$11:$I$33,1)))*(($B$4+A193)-INDEX($I$11:$I$33,MATCH(($B$4+A193),$I$11:$I$33,1)))/(INDEX($I$11:$I$33,MATCH(($B$4+A193),$I$11:$I$33,1)+1)-INDEX($I$11:$I$33,MATCH(($B$4+A193),$I$11:$I$33,1))))))-(IF(($B$4+A193)&lt;=$L$11,$M$11,IF(($B$4+A193)&gt;=$L$12,$M$12,INDEX($M$11:$M$12,MATCH(($B$4+A193),$L$11:$L$12,1))+(INDEX($M$11:$M$12,MATCH(($B$4+A193),$L$11:$L$12,1)+1)-INDEX($M$11:$M$12,MATCH(($B$4+A193),$L$11:$L$12,1)))*(($B$4+A193)-INDEX($L$11:$L$12,MATCH(($B$4+A193),$L$11:$L$12,1)))/(INDEX($L$11:$L$12,MATCH(($B$4+A193),$L$11:$L$12,1)+1)-INDEX($L$11:$L$12,MATCH(($B$4+A193),$L$11:$L$12,1)))))))/(1-(IF(($B$4+A193)&lt;=$I$11,$J$11,IF(($B$4+A193)&gt;=$I$33,$J$33,INDEX($J$11:$J$33,MATCH(($B$4+A193),$I$11:$I$33,1))+(INDEX($J$11:$J$33,MATCH(($B$4+A193),$I$11:$I$33,1)+1)-INDEX($J$11:$J$33,MATCH(($B$4+A193),$I$11:$I$33,1)))*(($B$4+A193)-INDEX($I$11:$I$33,MATCH(($B$4+A193),$I$11:$I$33,1)))/(INDEX($I$11:$I$33,MATCH(($B$4+A193),$I$11:$I$33,1)+1)-INDEX($I$11:$I$33,MATCH(($B$4+A193),$I$11:$I$33,1))))))),1)</f>
        <v>1</v>
      </c>
      <c r="D193" s="43" t="n">
        <f aca="false">B193*(1+$B$30)^(-A193)</f>
        <v>0.506372479838795</v>
      </c>
      <c r="E193" s="43" t="n">
        <f aca="false">B193*C193*(1+$B$5)^(-A193)</f>
        <v>1</v>
      </c>
      <c r="G193" s="32" t="n">
        <f aca="false">$B$31+0.125+133*0.25</f>
        <v>95.815</v>
      </c>
      <c r="H193" s="27" t="n">
        <f aca="false">IF(G193&lt;$B$33,1,0)</f>
        <v>0</v>
      </c>
      <c r="I193" s="43" t="n">
        <f aca="false">H193*(1-$B$6)^(G193-$B$31)*(1+$B$30)^(-G193)</f>
        <v>0</v>
      </c>
      <c r="J193" s="43" t="n">
        <f aca="false">H193*(1-$B$6)^(G193-$B$31)*L193*(1+$B$5)^(-G193)</f>
        <v>0</v>
      </c>
      <c r="L193" s="43" t="n">
        <f aca="false">IF($B$7="Oui",1-(IF(($B$4+G193)&lt;=$L$11,$M$11,IF(($B$4+G193)&gt;=$L$12,$M$12,INDEX($M$11:$M$12,MATCH(($B$4+G193),$L$11:$L$12,1))+(INDEX($M$11:$M$12,MATCH(($B$4+G193),$L$11:$L$12,1)+1)-INDEX($M$11:$M$12,MATCH(($B$4+G193),$L$11:$L$12,1)))*(($B$4+G193)-INDEX($L$11:$L$12,MATCH(($B$4+G193),$L$11:$L$12,1)))/(INDEX($L$11:$L$12,MATCH(($B$4+G193),$L$11:$L$12,1)+1)-INDEX($L$11:$L$12,MATCH(($B$4+G193),$L$11:$L$12,1)))))),1)</f>
        <v>1</v>
      </c>
    </row>
    <row r="194" customFormat="false" ht="15" hidden="false" customHeight="false" outlineLevel="0" collapsed="false">
      <c r="A194" s="32" t="n">
        <f aca="false">$B$32+0.125+134*0.25</f>
        <v>56.735</v>
      </c>
      <c r="B194" s="27" t="n">
        <f aca="false">IF(A194&lt;$B$31,1,0)</f>
        <v>1</v>
      </c>
      <c r="C194" s="43" t="n">
        <f aca="false">IF($B$7="Oui",1+((IF(($B$4+A194)&lt;=$I$11,$J$11,IF(($B$4+A194)&gt;=$I$33,$J$33,INDEX($J$11:$J$33,MATCH(($B$4+A194),$I$11:$I$33,1))+(INDEX($J$11:$J$33,MATCH(($B$4+A194),$I$11:$I$33,1)+1)-INDEX($J$11:$J$33,MATCH(($B$4+A194),$I$11:$I$33,1)))*(($B$4+A194)-INDEX($I$11:$I$33,MATCH(($B$4+A194),$I$11:$I$33,1)))/(INDEX($I$11:$I$33,MATCH(($B$4+A194),$I$11:$I$33,1)+1)-INDEX($I$11:$I$33,MATCH(($B$4+A194),$I$11:$I$33,1))))))-(IF(($B$4+A194)&lt;=$L$11,$M$11,IF(($B$4+A194)&gt;=$L$12,$M$12,INDEX($M$11:$M$12,MATCH(($B$4+A194),$L$11:$L$12,1))+(INDEX($M$11:$M$12,MATCH(($B$4+A194),$L$11:$L$12,1)+1)-INDEX($M$11:$M$12,MATCH(($B$4+A194),$L$11:$L$12,1)))*(($B$4+A194)-INDEX($L$11:$L$12,MATCH(($B$4+A194),$L$11:$L$12,1)))/(INDEX($L$11:$L$12,MATCH(($B$4+A194),$L$11:$L$12,1)+1)-INDEX($L$11:$L$12,MATCH(($B$4+A194),$L$11:$L$12,1)))))))/(1-(IF(($B$4+A194)&lt;=$I$11,$J$11,IF(($B$4+A194)&gt;=$I$33,$J$33,INDEX($J$11:$J$33,MATCH(($B$4+A194),$I$11:$I$33,1))+(INDEX($J$11:$J$33,MATCH(($B$4+A194),$I$11:$I$33,1)+1)-INDEX($J$11:$J$33,MATCH(($B$4+A194),$I$11:$I$33,1)))*(($B$4+A194)-INDEX($I$11:$I$33,MATCH(($B$4+A194),$I$11:$I$33,1)))/(INDEX($I$11:$I$33,MATCH(($B$4+A194),$I$11:$I$33,1)+1)-INDEX($I$11:$I$33,MATCH(($B$4+A194),$I$11:$I$33,1))))))),1)</f>
        <v>1</v>
      </c>
      <c r="D194" s="43" t="n">
        <f aca="false">B194*(1+$B$30)^(-A194)</f>
        <v>0.504849688994888</v>
      </c>
      <c r="E194" s="43" t="n">
        <f aca="false">B194*C194*(1+$B$5)^(-A194)</f>
        <v>1</v>
      </c>
      <c r="G194" s="32" t="n">
        <f aca="false">$B$31+0.125+134*0.25</f>
        <v>96.065</v>
      </c>
      <c r="H194" s="27" t="n">
        <f aca="false">IF(G194&lt;$B$33,1,0)</f>
        <v>0</v>
      </c>
      <c r="I194" s="43" t="n">
        <f aca="false">H194*(1-$B$6)^(G194-$B$31)*(1+$B$30)^(-G194)</f>
        <v>0</v>
      </c>
      <c r="J194" s="43" t="n">
        <f aca="false">H194*(1-$B$6)^(G194-$B$31)*L194*(1+$B$5)^(-G194)</f>
        <v>0</v>
      </c>
      <c r="L194" s="43" t="n">
        <f aca="false">IF($B$7="Oui",1-(IF(($B$4+G194)&lt;=$L$11,$M$11,IF(($B$4+G194)&gt;=$L$12,$M$12,INDEX($M$11:$M$12,MATCH(($B$4+G194),$L$11:$L$12,1))+(INDEX($M$11:$M$12,MATCH(($B$4+G194),$L$11:$L$12,1)+1)-INDEX($M$11:$M$12,MATCH(($B$4+G194),$L$11:$L$12,1)))*(($B$4+G194)-INDEX($L$11:$L$12,MATCH(($B$4+G194),$L$11:$L$12,1)))/(INDEX($L$11:$L$12,MATCH(($B$4+G194),$L$11:$L$12,1)+1)-INDEX($L$11:$L$12,MATCH(($B$4+G194),$L$11:$L$12,1)))))),1)</f>
        <v>1</v>
      </c>
    </row>
    <row r="195" customFormat="false" ht="15" hidden="false" customHeight="false" outlineLevel="0" collapsed="false">
      <c r="A195" s="32" t="n">
        <f aca="false">$B$32+0.125+135*0.25</f>
        <v>56.985</v>
      </c>
      <c r="B195" s="27" t="n">
        <f aca="false">IF(A195&lt;$B$31,1,0)</f>
        <v>1</v>
      </c>
      <c r="C195" s="43" t="n">
        <f aca="false">IF($B$7="Oui",1+((IF(($B$4+A195)&lt;=$I$11,$J$11,IF(($B$4+A195)&gt;=$I$33,$J$33,INDEX($J$11:$J$33,MATCH(($B$4+A195),$I$11:$I$33,1))+(INDEX($J$11:$J$33,MATCH(($B$4+A195),$I$11:$I$33,1)+1)-INDEX($J$11:$J$33,MATCH(($B$4+A195),$I$11:$I$33,1)))*(($B$4+A195)-INDEX($I$11:$I$33,MATCH(($B$4+A195),$I$11:$I$33,1)))/(INDEX($I$11:$I$33,MATCH(($B$4+A195),$I$11:$I$33,1)+1)-INDEX($I$11:$I$33,MATCH(($B$4+A195),$I$11:$I$33,1))))))-(IF(($B$4+A195)&lt;=$L$11,$M$11,IF(($B$4+A195)&gt;=$L$12,$M$12,INDEX($M$11:$M$12,MATCH(($B$4+A195),$L$11:$L$12,1))+(INDEX($M$11:$M$12,MATCH(($B$4+A195),$L$11:$L$12,1)+1)-INDEX($M$11:$M$12,MATCH(($B$4+A195),$L$11:$L$12,1)))*(($B$4+A195)-INDEX($L$11:$L$12,MATCH(($B$4+A195),$L$11:$L$12,1)))/(INDEX($L$11:$L$12,MATCH(($B$4+A195),$L$11:$L$12,1)+1)-INDEX($L$11:$L$12,MATCH(($B$4+A195),$L$11:$L$12,1)))))))/(1-(IF(($B$4+A195)&lt;=$I$11,$J$11,IF(($B$4+A195)&gt;=$I$33,$J$33,INDEX($J$11:$J$33,MATCH(($B$4+A195),$I$11:$I$33,1))+(INDEX($J$11:$J$33,MATCH(($B$4+A195),$I$11:$I$33,1)+1)-INDEX($J$11:$J$33,MATCH(($B$4+A195),$I$11:$I$33,1)))*(($B$4+A195)-INDEX($I$11:$I$33,MATCH(($B$4+A195),$I$11:$I$33,1)))/(INDEX($I$11:$I$33,MATCH(($B$4+A195),$I$11:$I$33,1)+1)-INDEX($I$11:$I$33,MATCH(($B$4+A195),$I$11:$I$33,1))))))),1)</f>
        <v>1</v>
      </c>
      <c r="D195" s="43" t="n">
        <f aca="false">B195*(1+$B$30)^(-A195)</f>
        <v>0.503331477570374</v>
      </c>
      <c r="E195" s="43" t="n">
        <f aca="false">B195*C195*(1+$B$5)^(-A195)</f>
        <v>1</v>
      </c>
      <c r="G195" s="32" t="n">
        <f aca="false">$B$31+0.125+135*0.25</f>
        <v>96.315</v>
      </c>
      <c r="H195" s="27" t="n">
        <f aca="false">IF(G195&lt;$B$33,1,0)</f>
        <v>0</v>
      </c>
      <c r="I195" s="43" t="n">
        <f aca="false">H195*(1-$B$6)^(G195-$B$31)*(1+$B$30)^(-G195)</f>
        <v>0</v>
      </c>
      <c r="J195" s="43" t="n">
        <f aca="false">H195*(1-$B$6)^(G195-$B$31)*L195*(1+$B$5)^(-G195)</f>
        <v>0</v>
      </c>
      <c r="L195" s="43" t="n">
        <f aca="false">IF($B$7="Oui",1-(IF(($B$4+G195)&lt;=$L$11,$M$11,IF(($B$4+G195)&gt;=$L$12,$M$12,INDEX($M$11:$M$12,MATCH(($B$4+G195),$L$11:$L$12,1))+(INDEX($M$11:$M$12,MATCH(($B$4+G195),$L$11:$L$12,1)+1)-INDEX($M$11:$M$12,MATCH(($B$4+G195),$L$11:$L$12,1)))*(($B$4+G195)-INDEX($L$11:$L$12,MATCH(($B$4+G195),$L$11:$L$12,1)))/(INDEX($L$11:$L$12,MATCH(($B$4+G195),$L$11:$L$12,1)+1)-INDEX($L$11:$L$12,MATCH(($B$4+G195),$L$11:$L$12,1)))))),1)</f>
        <v>1</v>
      </c>
    </row>
    <row r="196" customFormat="false" ht="15" hidden="false" customHeight="false" outlineLevel="0" collapsed="false">
      <c r="A196" s="32" t="n">
        <f aca="false">$B$32+0.125+136*0.25</f>
        <v>57.235</v>
      </c>
      <c r="B196" s="27" t="n">
        <f aca="false">IF(A196&lt;$B$31,1,0)</f>
        <v>1</v>
      </c>
      <c r="C196" s="43" t="n">
        <f aca="false">IF($B$7="Oui",1+((IF(($B$4+A196)&lt;=$I$11,$J$11,IF(($B$4+A196)&gt;=$I$33,$J$33,INDEX($J$11:$J$33,MATCH(($B$4+A196),$I$11:$I$33,1))+(INDEX($J$11:$J$33,MATCH(($B$4+A196),$I$11:$I$33,1)+1)-INDEX($J$11:$J$33,MATCH(($B$4+A196),$I$11:$I$33,1)))*(($B$4+A196)-INDEX($I$11:$I$33,MATCH(($B$4+A196),$I$11:$I$33,1)))/(INDEX($I$11:$I$33,MATCH(($B$4+A196),$I$11:$I$33,1)+1)-INDEX($I$11:$I$33,MATCH(($B$4+A196),$I$11:$I$33,1))))))-(IF(($B$4+A196)&lt;=$L$11,$M$11,IF(($B$4+A196)&gt;=$L$12,$M$12,INDEX($M$11:$M$12,MATCH(($B$4+A196),$L$11:$L$12,1))+(INDEX($M$11:$M$12,MATCH(($B$4+A196),$L$11:$L$12,1)+1)-INDEX($M$11:$M$12,MATCH(($B$4+A196),$L$11:$L$12,1)))*(($B$4+A196)-INDEX($L$11:$L$12,MATCH(($B$4+A196),$L$11:$L$12,1)))/(INDEX($L$11:$L$12,MATCH(($B$4+A196),$L$11:$L$12,1)+1)-INDEX($L$11:$L$12,MATCH(($B$4+A196),$L$11:$L$12,1)))))))/(1-(IF(($B$4+A196)&lt;=$I$11,$J$11,IF(($B$4+A196)&gt;=$I$33,$J$33,INDEX($J$11:$J$33,MATCH(($B$4+A196),$I$11:$I$33,1))+(INDEX($J$11:$J$33,MATCH(($B$4+A196),$I$11:$I$33,1)+1)-INDEX($J$11:$J$33,MATCH(($B$4+A196),$I$11:$I$33,1)))*(($B$4+A196)-INDEX($I$11:$I$33,MATCH(($B$4+A196),$I$11:$I$33,1)))/(INDEX($I$11:$I$33,MATCH(($B$4+A196),$I$11:$I$33,1)+1)-INDEX($I$11:$I$33,MATCH(($B$4+A196),$I$11:$I$33,1))))))),1)</f>
        <v>1</v>
      </c>
      <c r="D196" s="43" t="n">
        <f aca="false">B196*(1+$B$30)^(-A196)</f>
        <v>0.501817831793774</v>
      </c>
      <c r="E196" s="43" t="n">
        <f aca="false">B196*C196*(1+$B$5)^(-A196)</f>
        <v>1</v>
      </c>
      <c r="G196" s="32" t="n">
        <f aca="false">$B$31+0.125+136*0.25</f>
        <v>96.565</v>
      </c>
      <c r="H196" s="27" t="n">
        <f aca="false">IF(G196&lt;$B$33,1,0)</f>
        <v>0</v>
      </c>
      <c r="I196" s="43" t="n">
        <f aca="false">H196*(1-$B$6)^(G196-$B$31)*(1+$B$30)^(-G196)</f>
        <v>0</v>
      </c>
      <c r="J196" s="43" t="n">
        <f aca="false">H196*(1-$B$6)^(G196-$B$31)*L196*(1+$B$5)^(-G196)</f>
        <v>0</v>
      </c>
      <c r="L196" s="43" t="n">
        <f aca="false">IF($B$7="Oui",1-(IF(($B$4+G196)&lt;=$L$11,$M$11,IF(($B$4+G196)&gt;=$L$12,$M$12,INDEX($M$11:$M$12,MATCH(($B$4+G196),$L$11:$L$12,1))+(INDEX($M$11:$M$12,MATCH(($B$4+G196),$L$11:$L$12,1)+1)-INDEX($M$11:$M$12,MATCH(($B$4+G196),$L$11:$L$12,1)))*(($B$4+G196)-INDEX($L$11:$L$12,MATCH(($B$4+G196),$L$11:$L$12,1)))/(INDEX($L$11:$L$12,MATCH(($B$4+G196),$L$11:$L$12,1)+1)-INDEX($L$11:$L$12,MATCH(($B$4+G196),$L$11:$L$12,1)))))),1)</f>
        <v>1</v>
      </c>
    </row>
    <row r="197" customFormat="false" ht="15" hidden="false" customHeight="false" outlineLevel="0" collapsed="false">
      <c r="A197" s="32" t="n">
        <f aca="false">$B$32+0.125+137*0.25</f>
        <v>57.485</v>
      </c>
      <c r="B197" s="27" t="n">
        <f aca="false">IF(A197&lt;$B$31,1,0)</f>
        <v>1</v>
      </c>
      <c r="C197" s="43" t="n">
        <f aca="false">IF($B$7="Oui",1+((IF(($B$4+A197)&lt;=$I$11,$J$11,IF(($B$4+A197)&gt;=$I$33,$J$33,INDEX($J$11:$J$33,MATCH(($B$4+A197),$I$11:$I$33,1))+(INDEX($J$11:$J$33,MATCH(($B$4+A197),$I$11:$I$33,1)+1)-INDEX($J$11:$J$33,MATCH(($B$4+A197),$I$11:$I$33,1)))*(($B$4+A197)-INDEX($I$11:$I$33,MATCH(($B$4+A197),$I$11:$I$33,1)))/(INDEX($I$11:$I$33,MATCH(($B$4+A197),$I$11:$I$33,1)+1)-INDEX($I$11:$I$33,MATCH(($B$4+A197),$I$11:$I$33,1))))))-(IF(($B$4+A197)&lt;=$L$11,$M$11,IF(($B$4+A197)&gt;=$L$12,$M$12,INDEX($M$11:$M$12,MATCH(($B$4+A197),$L$11:$L$12,1))+(INDEX($M$11:$M$12,MATCH(($B$4+A197),$L$11:$L$12,1)+1)-INDEX($M$11:$M$12,MATCH(($B$4+A197),$L$11:$L$12,1)))*(($B$4+A197)-INDEX($L$11:$L$12,MATCH(($B$4+A197),$L$11:$L$12,1)))/(INDEX($L$11:$L$12,MATCH(($B$4+A197),$L$11:$L$12,1)+1)-INDEX($L$11:$L$12,MATCH(($B$4+A197),$L$11:$L$12,1)))))))/(1-(IF(($B$4+A197)&lt;=$I$11,$J$11,IF(($B$4+A197)&gt;=$I$33,$J$33,INDEX($J$11:$J$33,MATCH(($B$4+A197),$I$11:$I$33,1))+(INDEX($J$11:$J$33,MATCH(($B$4+A197),$I$11:$I$33,1)+1)-INDEX($J$11:$J$33,MATCH(($B$4+A197),$I$11:$I$33,1)))*(($B$4+A197)-INDEX($I$11:$I$33,MATCH(($B$4+A197),$I$11:$I$33,1)))/(INDEX($I$11:$I$33,MATCH(($B$4+A197),$I$11:$I$33,1)+1)-INDEX($I$11:$I$33,MATCH(($B$4+A197),$I$11:$I$33,1))))))),1)</f>
        <v>1</v>
      </c>
      <c r="D197" s="43" t="n">
        <f aca="false">B197*(1+$B$30)^(-A197)</f>
        <v>0.500308737935023</v>
      </c>
      <c r="E197" s="43" t="n">
        <f aca="false">B197*C197*(1+$B$5)^(-A197)</f>
        <v>1</v>
      </c>
      <c r="G197" s="32" t="n">
        <f aca="false">$B$31+0.125+137*0.25</f>
        <v>96.815</v>
      </c>
      <c r="H197" s="27" t="n">
        <f aca="false">IF(G197&lt;$B$33,1,0)</f>
        <v>0</v>
      </c>
      <c r="I197" s="43" t="n">
        <f aca="false">H197*(1-$B$6)^(G197-$B$31)*(1+$B$30)^(-G197)</f>
        <v>0</v>
      </c>
      <c r="J197" s="43" t="n">
        <f aca="false">H197*(1-$B$6)^(G197-$B$31)*L197*(1+$B$5)^(-G197)</f>
        <v>0</v>
      </c>
      <c r="L197" s="43" t="n">
        <f aca="false">IF($B$7="Oui",1-(IF(($B$4+G197)&lt;=$L$11,$M$11,IF(($B$4+G197)&gt;=$L$12,$M$12,INDEX($M$11:$M$12,MATCH(($B$4+G197),$L$11:$L$12,1))+(INDEX($M$11:$M$12,MATCH(($B$4+G197),$L$11:$L$12,1)+1)-INDEX($M$11:$M$12,MATCH(($B$4+G197),$L$11:$L$12,1)))*(($B$4+G197)-INDEX($L$11:$L$12,MATCH(($B$4+G197),$L$11:$L$12,1)))/(INDEX($L$11:$L$12,MATCH(($B$4+G197),$L$11:$L$12,1)+1)-INDEX($L$11:$L$12,MATCH(($B$4+G197),$L$11:$L$12,1)))))),1)</f>
        <v>1</v>
      </c>
    </row>
    <row r="198" customFormat="false" ht="15" hidden="false" customHeight="false" outlineLevel="0" collapsed="false">
      <c r="A198" s="32" t="n">
        <f aca="false">$B$32+0.125+138*0.25</f>
        <v>57.735</v>
      </c>
      <c r="B198" s="27" t="n">
        <f aca="false">IF(A198&lt;$B$31,1,0)</f>
        <v>1</v>
      </c>
      <c r="C198" s="43" t="n">
        <f aca="false">IF($B$7="Oui",1+((IF(($B$4+A198)&lt;=$I$11,$J$11,IF(($B$4+A198)&gt;=$I$33,$J$33,INDEX($J$11:$J$33,MATCH(($B$4+A198),$I$11:$I$33,1))+(INDEX($J$11:$J$33,MATCH(($B$4+A198),$I$11:$I$33,1)+1)-INDEX($J$11:$J$33,MATCH(($B$4+A198),$I$11:$I$33,1)))*(($B$4+A198)-INDEX($I$11:$I$33,MATCH(($B$4+A198),$I$11:$I$33,1)))/(INDEX($I$11:$I$33,MATCH(($B$4+A198),$I$11:$I$33,1)+1)-INDEX($I$11:$I$33,MATCH(($B$4+A198),$I$11:$I$33,1))))))-(IF(($B$4+A198)&lt;=$L$11,$M$11,IF(($B$4+A198)&gt;=$L$12,$M$12,INDEX($M$11:$M$12,MATCH(($B$4+A198),$L$11:$L$12,1))+(INDEX($M$11:$M$12,MATCH(($B$4+A198),$L$11:$L$12,1)+1)-INDEX($M$11:$M$12,MATCH(($B$4+A198),$L$11:$L$12,1)))*(($B$4+A198)-INDEX($L$11:$L$12,MATCH(($B$4+A198),$L$11:$L$12,1)))/(INDEX($L$11:$L$12,MATCH(($B$4+A198),$L$11:$L$12,1)+1)-INDEX($L$11:$L$12,MATCH(($B$4+A198),$L$11:$L$12,1)))))))/(1-(IF(($B$4+A198)&lt;=$I$11,$J$11,IF(($B$4+A198)&gt;=$I$33,$J$33,INDEX($J$11:$J$33,MATCH(($B$4+A198),$I$11:$I$33,1))+(INDEX($J$11:$J$33,MATCH(($B$4+A198),$I$11:$I$33,1)+1)-INDEX($J$11:$J$33,MATCH(($B$4+A198),$I$11:$I$33,1)))*(($B$4+A198)-INDEX($I$11:$I$33,MATCH(($B$4+A198),$I$11:$I$33,1)))/(INDEX($I$11:$I$33,MATCH(($B$4+A198),$I$11:$I$33,1)+1)-INDEX($I$11:$I$33,MATCH(($B$4+A198),$I$11:$I$33,1))))))),1)</f>
        <v>1</v>
      </c>
      <c r="D198" s="43" t="n">
        <f aca="false">B198*(1+$B$30)^(-A198)</f>
        <v>0.498804182305347</v>
      </c>
      <c r="E198" s="43" t="n">
        <f aca="false">B198*C198*(1+$B$5)^(-A198)</f>
        <v>1</v>
      </c>
      <c r="G198" s="32" t="n">
        <f aca="false">$B$31+0.125+138*0.25</f>
        <v>97.065</v>
      </c>
      <c r="H198" s="27" t="n">
        <f aca="false">IF(G198&lt;$B$33,1,0)</f>
        <v>0</v>
      </c>
      <c r="I198" s="43" t="n">
        <f aca="false">H198*(1-$B$6)^(G198-$B$31)*(1+$B$30)^(-G198)</f>
        <v>0</v>
      </c>
      <c r="J198" s="43" t="n">
        <f aca="false">H198*(1-$B$6)^(G198-$B$31)*L198*(1+$B$5)^(-G198)</f>
        <v>0</v>
      </c>
      <c r="L198" s="43" t="n">
        <f aca="false">IF($B$7="Oui",1-(IF(($B$4+G198)&lt;=$L$11,$M$11,IF(($B$4+G198)&gt;=$L$12,$M$12,INDEX($M$11:$M$12,MATCH(($B$4+G198),$L$11:$L$12,1))+(INDEX($M$11:$M$12,MATCH(($B$4+G198),$L$11:$L$12,1)+1)-INDEX($M$11:$M$12,MATCH(($B$4+G198),$L$11:$L$12,1)))*(($B$4+G198)-INDEX($L$11:$L$12,MATCH(($B$4+G198),$L$11:$L$12,1)))/(INDEX($L$11:$L$12,MATCH(($B$4+G198),$L$11:$L$12,1)+1)-INDEX($L$11:$L$12,MATCH(($B$4+G198),$L$11:$L$12,1)))))),1)</f>
        <v>1</v>
      </c>
    </row>
    <row r="199" customFormat="false" ht="15" hidden="false" customHeight="false" outlineLevel="0" collapsed="false">
      <c r="A199" s="32" t="n">
        <f aca="false">$B$32+0.125+139*0.25</f>
        <v>57.985</v>
      </c>
      <c r="B199" s="27" t="n">
        <f aca="false">IF(A199&lt;$B$31,1,0)</f>
        <v>1</v>
      </c>
      <c r="C199" s="43" t="n">
        <f aca="false">IF($B$7="Oui",1+((IF(($B$4+A199)&lt;=$I$11,$J$11,IF(($B$4+A199)&gt;=$I$33,$J$33,INDEX($J$11:$J$33,MATCH(($B$4+A199),$I$11:$I$33,1))+(INDEX($J$11:$J$33,MATCH(($B$4+A199),$I$11:$I$33,1)+1)-INDEX($J$11:$J$33,MATCH(($B$4+A199),$I$11:$I$33,1)))*(($B$4+A199)-INDEX($I$11:$I$33,MATCH(($B$4+A199),$I$11:$I$33,1)))/(INDEX($I$11:$I$33,MATCH(($B$4+A199),$I$11:$I$33,1)+1)-INDEX($I$11:$I$33,MATCH(($B$4+A199),$I$11:$I$33,1))))))-(IF(($B$4+A199)&lt;=$L$11,$M$11,IF(($B$4+A199)&gt;=$L$12,$M$12,INDEX($M$11:$M$12,MATCH(($B$4+A199),$L$11:$L$12,1))+(INDEX($M$11:$M$12,MATCH(($B$4+A199),$L$11:$L$12,1)+1)-INDEX($M$11:$M$12,MATCH(($B$4+A199),$L$11:$L$12,1)))*(($B$4+A199)-INDEX($L$11:$L$12,MATCH(($B$4+A199),$L$11:$L$12,1)))/(INDEX($L$11:$L$12,MATCH(($B$4+A199),$L$11:$L$12,1)+1)-INDEX($L$11:$L$12,MATCH(($B$4+A199),$L$11:$L$12,1)))))))/(1-(IF(($B$4+A199)&lt;=$I$11,$J$11,IF(($B$4+A199)&gt;=$I$33,$J$33,INDEX($J$11:$J$33,MATCH(($B$4+A199),$I$11:$I$33,1))+(INDEX($J$11:$J$33,MATCH(($B$4+A199),$I$11:$I$33,1)+1)-INDEX($J$11:$J$33,MATCH(($B$4+A199),$I$11:$I$33,1)))*(($B$4+A199)-INDEX($I$11:$I$33,MATCH(($B$4+A199),$I$11:$I$33,1)))/(INDEX($I$11:$I$33,MATCH(($B$4+A199),$I$11:$I$33,1)+1)-INDEX($I$11:$I$33,MATCH(($B$4+A199),$I$11:$I$33,1))))))),1)</f>
        <v>1</v>
      </c>
      <c r="D199" s="43" t="n">
        <f aca="false">B199*(1+$B$30)^(-A199)</f>
        <v>0.497304151257137</v>
      </c>
      <c r="E199" s="43" t="n">
        <f aca="false">B199*C199*(1+$B$5)^(-A199)</f>
        <v>1</v>
      </c>
      <c r="G199" s="32" t="n">
        <f aca="false">$B$31+0.125+139*0.25</f>
        <v>97.315</v>
      </c>
      <c r="H199" s="27" t="n">
        <f aca="false">IF(G199&lt;$B$33,1,0)</f>
        <v>0</v>
      </c>
      <c r="I199" s="43" t="n">
        <f aca="false">H199*(1-$B$6)^(G199-$B$31)*(1+$B$30)^(-G199)</f>
        <v>0</v>
      </c>
      <c r="J199" s="43" t="n">
        <f aca="false">H199*(1-$B$6)^(G199-$B$31)*L199*(1+$B$5)^(-G199)</f>
        <v>0</v>
      </c>
      <c r="L199" s="43" t="n">
        <f aca="false">IF($B$7="Oui",1-(IF(($B$4+G199)&lt;=$L$11,$M$11,IF(($B$4+G199)&gt;=$L$12,$M$12,INDEX($M$11:$M$12,MATCH(($B$4+G199),$L$11:$L$12,1))+(INDEX($M$11:$M$12,MATCH(($B$4+G199),$L$11:$L$12,1)+1)-INDEX($M$11:$M$12,MATCH(($B$4+G199),$L$11:$L$12,1)))*(($B$4+G199)-INDEX($L$11:$L$12,MATCH(($B$4+G199),$L$11:$L$12,1)))/(INDEX($L$11:$L$12,MATCH(($B$4+G199),$L$11:$L$12,1)+1)-INDEX($L$11:$L$12,MATCH(($B$4+G199),$L$11:$L$12,1)))))),1)</f>
        <v>1</v>
      </c>
    </row>
    <row r="200" customFormat="false" ht="15" hidden="false" customHeight="false" outlineLevel="0" collapsed="false">
      <c r="A200" s="32" t="n">
        <f aca="false">$B$32+0.125+140*0.25</f>
        <v>58.235</v>
      </c>
      <c r="B200" s="27" t="n">
        <f aca="false">IF(A200&lt;$B$31,1,0)</f>
        <v>1</v>
      </c>
      <c r="C200" s="43" t="n">
        <f aca="false">IF($B$7="Oui",1+((IF(($B$4+A200)&lt;=$I$11,$J$11,IF(($B$4+A200)&gt;=$I$33,$J$33,INDEX($J$11:$J$33,MATCH(($B$4+A200),$I$11:$I$33,1))+(INDEX($J$11:$J$33,MATCH(($B$4+A200),$I$11:$I$33,1)+1)-INDEX($J$11:$J$33,MATCH(($B$4+A200),$I$11:$I$33,1)))*(($B$4+A200)-INDEX($I$11:$I$33,MATCH(($B$4+A200),$I$11:$I$33,1)))/(INDEX($I$11:$I$33,MATCH(($B$4+A200),$I$11:$I$33,1)+1)-INDEX($I$11:$I$33,MATCH(($B$4+A200),$I$11:$I$33,1))))))-(IF(($B$4+A200)&lt;=$L$11,$M$11,IF(($B$4+A200)&gt;=$L$12,$M$12,INDEX($M$11:$M$12,MATCH(($B$4+A200),$L$11:$L$12,1))+(INDEX($M$11:$M$12,MATCH(($B$4+A200),$L$11:$L$12,1)+1)-INDEX($M$11:$M$12,MATCH(($B$4+A200),$L$11:$L$12,1)))*(($B$4+A200)-INDEX($L$11:$L$12,MATCH(($B$4+A200),$L$11:$L$12,1)))/(INDEX($L$11:$L$12,MATCH(($B$4+A200),$L$11:$L$12,1)+1)-INDEX($L$11:$L$12,MATCH(($B$4+A200),$L$11:$L$12,1)))))))/(1-(IF(($B$4+A200)&lt;=$I$11,$J$11,IF(($B$4+A200)&gt;=$I$33,$J$33,INDEX($J$11:$J$33,MATCH(($B$4+A200),$I$11:$I$33,1))+(INDEX($J$11:$J$33,MATCH(($B$4+A200),$I$11:$I$33,1)+1)-INDEX($J$11:$J$33,MATCH(($B$4+A200),$I$11:$I$33,1)))*(($B$4+A200)-INDEX($I$11:$I$33,MATCH(($B$4+A200),$I$11:$I$33,1)))/(INDEX($I$11:$I$33,MATCH(($B$4+A200),$I$11:$I$33,1)+1)-INDEX($I$11:$I$33,MATCH(($B$4+A200),$I$11:$I$33,1))))))),1)</f>
        <v>1</v>
      </c>
      <c r="D200" s="43" t="n">
        <f aca="false">B200*(1+$B$30)^(-A200)</f>
        <v>0.495808631183826</v>
      </c>
      <c r="E200" s="43" t="n">
        <f aca="false">B200*C200*(1+$B$5)^(-A200)</f>
        <v>1</v>
      </c>
      <c r="G200" s="32" t="n">
        <f aca="false">$B$31+0.125+140*0.25</f>
        <v>97.565</v>
      </c>
      <c r="H200" s="27" t="n">
        <f aca="false">IF(G200&lt;$B$33,1,0)</f>
        <v>0</v>
      </c>
      <c r="I200" s="43" t="n">
        <f aca="false">H200*(1-$B$6)^(G200-$B$31)*(1+$B$30)^(-G200)</f>
        <v>0</v>
      </c>
      <c r="J200" s="43" t="n">
        <f aca="false">H200*(1-$B$6)^(G200-$B$31)*L200*(1+$B$5)^(-G200)</f>
        <v>0</v>
      </c>
      <c r="L200" s="43" t="n">
        <f aca="false">IF($B$7="Oui",1-(IF(($B$4+G200)&lt;=$L$11,$M$11,IF(($B$4+G200)&gt;=$L$12,$M$12,INDEX($M$11:$M$12,MATCH(($B$4+G200),$L$11:$L$12,1))+(INDEX($M$11:$M$12,MATCH(($B$4+G200),$L$11:$L$12,1)+1)-INDEX($M$11:$M$12,MATCH(($B$4+G200),$L$11:$L$12,1)))*(($B$4+G200)-INDEX($L$11:$L$12,MATCH(($B$4+G200),$L$11:$L$12,1)))/(INDEX($L$11:$L$12,MATCH(($B$4+G200),$L$11:$L$12,1)+1)-INDEX($L$11:$L$12,MATCH(($B$4+G200),$L$11:$L$12,1)))))),1)</f>
        <v>1</v>
      </c>
    </row>
    <row r="201" customFormat="false" ht="15" hidden="false" customHeight="false" outlineLevel="0" collapsed="false">
      <c r="A201" s="32" t="n">
        <f aca="false">$B$32+0.125+141*0.25</f>
        <v>58.485</v>
      </c>
      <c r="B201" s="27" t="n">
        <f aca="false">IF(A201&lt;$B$31,1,0)</f>
        <v>1</v>
      </c>
      <c r="C201" s="43" t="n">
        <f aca="false">IF($B$7="Oui",1+((IF(($B$4+A201)&lt;=$I$11,$J$11,IF(($B$4+A201)&gt;=$I$33,$J$33,INDEX($J$11:$J$33,MATCH(($B$4+A201),$I$11:$I$33,1))+(INDEX($J$11:$J$33,MATCH(($B$4+A201),$I$11:$I$33,1)+1)-INDEX($J$11:$J$33,MATCH(($B$4+A201),$I$11:$I$33,1)))*(($B$4+A201)-INDEX($I$11:$I$33,MATCH(($B$4+A201),$I$11:$I$33,1)))/(INDEX($I$11:$I$33,MATCH(($B$4+A201),$I$11:$I$33,1)+1)-INDEX($I$11:$I$33,MATCH(($B$4+A201),$I$11:$I$33,1))))))-(IF(($B$4+A201)&lt;=$L$11,$M$11,IF(($B$4+A201)&gt;=$L$12,$M$12,INDEX($M$11:$M$12,MATCH(($B$4+A201),$L$11:$L$12,1))+(INDEX($M$11:$M$12,MATCH(($B$4+A201),$L$11:$L$12,1)+1)-INDEX($M$11:$M$12,MATCH(($B$4+A201),$L$11:$L$12,1)))*(($B$4+A201)-INDEX($L$11:$L$12,MATCH(($B$4+A201),$L$11:$L$12,1)))/(INDEX($L$11:$L$12,MATCH(($B$4+A201),$L$11:$L$12,1)+1)-INDEX($L$11:$L$12,MATCH(($B$4+A201),$L$11:$L$12,1)))))))/(1-(IF(($B$4+A201)&lt;=$I$11,$J$11,IF(($B$4+A201)&gt;=$I$33,$J$33,INDEX($J$11:$J$33,MATCH(($B$4+A201),$I$11:$I$33,1))+(INDEX($J$11:$J$33,MATCH(($B$4+A201),$I$11:$I$33,1)+1)-INDEX($J$11:$J$33,MATCH(($B$4+A201),$I$11:$I$33,1)))*(($B$4+A201)-INDEX($I$11:$I$33,MATCH(($B$4+A201),$I$11:$I$33,1)))/(INDEX($I$11:$I$33,MATCH(($B$4+A201),$I$11:$I$33,1)+1)-INDEX($I$11:$I$33,MATCH(($B$4+A201),$I$11:$I$33,1))))))),1)</f>
        <v>1</v>
      </c>
      <c r="D201" s="43" t="n">
        <f aca="false">B201*(1+$B$30)^(-A201)</f>
        <v>0.494317608519764</v>
      </c>
      <c r="E201" s="43" t="n">
        <f aca="false">B201*C201*(1+$B$5)^(-A201)</f>
        <v>1</v>
      </c>
      <c r="G201" s="32" t="n">
        <f aca="false">$B$31+0.125+141*0.25</f>
        <v>97.815</v>
      </c>
      <c r="H201" s="27" t="n">
        <f aca="false">IF(G201&lt;$B$33,1,0)</f>
        <v>0</v>
      </c>
      <c r="I201" s="43" t="n">
        <f aca="false">H201*(1-$B$6)^(G201-$B$31)*(1+$B$30)^(-G201)</f>
        <v>0</v>
      </c>
      <c r="J201" s="43" t="n">
        <f aca="false">H201*(1-$B$6)^(G201-$B$31)*L201*(1+$B$5)^(-G201)</f>
        <v>0</v>
      </c>
      <c r="L201" s="43" t="n">
        <f aca="false">IF($B$7="Oui",1-(IF(($B$4+G201)&lt;=$L$11,$M$11,IF(($B$4+G201)&gt;=$L$12,$M$12,INDEX($M$11:$M$12,MATCH(($B$4+G201),$L$11:$L$12,1))+(INDEX($M$11:$M$12,MATCH(($B$4+G201),$L$11:$L$12,1)+1)-INDEX($M$11:$M$12,MATCH(($B$4+G201),$L$11:$L$12,1)))*(($B$4+G201)-INDEX($L$11:$L$12,MATCH(($B$4+G201),$L$11:$L$12,1)))/(INDEX($L$11:$L$12,MATCH(($B$4+G201),$L$11:$L$12,1)+1)-INDEX($L$11:$L$12,MATCH(($B$4+G201),$L$11:$L$12,1)))))),1)</f>
        <v>1</v>
      </c>
    </row>
    <row r="202" customFormat="false" ht="15" hidden="false" customHeight="false" outlineLevel="0" collapsed="false">
      <c r="A202" s="32" t="n">
        <f aca="false">$B$32+0.125+142*0.25</f>
        <v>58.735</v>
      </c>
      <c r="B202" s="27" t="n">
        <f aca="false">IF(A202&lt;$B$31,1,0)</f>
        <v>1</v>
      </c>
      <c r="C202" s="43" t="n">
        <f aca="false">IF($B$7="Oui",1+((IF(($B$4+A202)&lt;=$I$11,$J$11,IF(($B$4+A202)&gt;=$I$33,$J$33,INDEX($J$11:$J$33,MATCH(($B$4+A202),$I$11:$I$33,1))+(INDEX($J$11:$J$33,MATCH(($B$4+A202),$I$11:$I$33,1)+1)-INDEX($J$11:$J$33,MATCH(($B$4+A202),$I$11:$I$33,1)))*(($B$4+A202)-INDEX($I$11:$I$33,MATCH(($B$4+A202),$I$11:$I$33,1)))/(INDEX($I$11:$I$33,MATCH(($B$4+A202),$I$11:$I$33,1)+1)-INDEX($I$11:$I$33,MATCH(($B$4+A202),$I$11:$I$33,1))))))-(IF(($B$4+A202)&lt;=$L$11,$M$11,IF(($B$4+A202)&gt;=$L$12,$M$12,INDEX($M$11:$M$12,MATCH(($B$4+A202),$L$11:$L$12,1))+(INDEX($M$11:$M$12,MATCH(($B$4+A202),$L$11:$L$12,1)+1)-INDEX($M$11:$M$12,MATCH(($B$4+A202),$L$11:$L$12,1)))*(($B$4+A202)-INDEX($L$11:$L$12,MATCH(($B$4+A202),$L$11:$L$12,1)))/(INDEX($L$11:$L$12,MATCH(($B$4+A202),$L$11:$L$12,1)+1)-INDEX($L$11:$L$12,MATCH(($B$4+A202),$L$11:$L$12,1)))))))/(1-(IF(($B$4+A202)&lt;=$I$11,$J$11,IF(($B$4+A202)&gt;=$I$33,$J$33,INDEX($J$11:$J$33,MATCH(($B$4+A202),$I$11:$I$33,1))+(INDEX($J$11:$J$33,MATCH(($B$4+A202),$I$11:$I$33,1)+1)-INDEX($J$11:$J$33,MATCH(($B$4+A202),$I$11:$I$33,1)))*(($B$4+A202)-INDEX($I$11:$I$33,MATCH(($B$4+A202),$I$11:$I$33,1)))/(INDEX($I$11:$I$33,MATCH(($B$4+A202),$I$11:$I$33,1)+1)-INDEX($I$11:$I$33,MATCH(($B$4+A202),$I$11:$I$33,1))))))),1)</f>
        <v>1</v>
      </c>
      <c r="D202" s="43" t="n">
        <f aca="false">B202*(1+$B$30)^(-A202)</f>
        <v>0.492831069740097</v>
      </c>
      <c r="E202" s="43" t="n">
        <f aca="false">B202*C202*(1+$B$5)^(-A202)</f>
        <v>1</v>
      </c>
      <c r="G202" s="32" t="n">
        <f aca="false">$B$31+0.125+142*0.25</f>
        <v>98.065</v>
      </c>
      <c r="H202" s="27" t="n">
        <f aca="false">IF(G202&lt;$B$33,1,0)</f>
        <v>0</v>
      </c>
      <c r="I202" s="43" t="n">
        <f aca="false">H202*(1-$B$6)^(G202-$B$31)*(1+$B$30)^(-G202)</f>
        <v>0</v>
      </c>
      <c r="J202" s="43" t="n">
        <f aca="false">H202*(1-$B$6)^(G202-$B$31)*L202*(1+$B$5)^(-G202)</f>
        <v>0</v>
      </c>
      <c r="L202" s="43" t="n">
        <f aca="false">IF($B$7="Oui",1-(IF(($B$4+G202)&lt;=$L$11,$M$11,IF(($B$4+G202)&gt;=$L$12,$M$12,INDEX($M$11:$M$12,MATCH(($B$4+G202),$L$11:$L$12,1))+(INDEX($M$11:$M$12,MATCH(($B$4+G202),$L$11:$L$12,1)+1)-INDEX($M$11:$M$12,MATCH(($B$4+G202),$L$11:$L$12,1)))*(($B$4+G202)-INDEX($L$11:$L$12,MATCH(($B$4+G202),$L$11:$L$12,1)))/(INDEX($L$11:$L$12,MATCH(($B$4+G202),$L$11:$L$12,1)+1)-INDEX($L$11:$L$12,MATCH(($B$4+G202),$L$11:$L$12,1)))))),1)</f>
        <v>1</v>
      </c>
    </row>
    <row r="203" customFormat="false" ht="15" hidden="false" customHeight="false" outlineLevel="0" collapsed="false">
      <c r="A203" s="32" t="n">
        <f aca="false">$B$32+0.125+143*0.25</f>
        <v>58.985</v>
      </c>
      <c r="B203" s="27" t="n">
        <f aca="false">IF(A203&lt;$B$31,1,0)</f>
        <v>1</v>
      </c>
      <c r="C203" s="43" t="n">
        <f aca="false">IF($B$7="Oui",1+((IF(($B$4+A203)&lt;=$I$11,$J$11,IF(($B$4+A203)&gt;=$I$33,$J$33,INDEX($J$11:$J$33,MATCH(($B$4+A203),$I$11:$I$33,1))+(INDEX($J$11:$J$33,MATCH(($B$4+A203),$I$11:$I$33,1)+1)-INDEX($J$11:$J$33,MATCH(($B$4+A203),$I$11:$I$33,1)))*(($B$4+A203)-INDEX($I$11:$I$33,MATCH(($B$4+A203),$I$11:$I$33,1)))/(INDEX($I$11:$I$33,MATCH(($B$4+A203),$I$11:$I$33,1)+1)-INDEX($I$11:$I$33,MATCH(($B$4+A203),$I$11:$I$33,1))))))-(IF(($B$4+A203)&lt;=$L$11,$M$11,IF(($B$4+A203)&gt;=$L$12,$M$12,INDEX($M$11:$M$12,MATCH(($B$4+A203),$L$11:$L$12,1))+(INDEX($M$11:$M$12,MATCH(($B$4+A203),$L$11:$L$12,1)+1)-INDEX($M$11:$M$12,MATCH(($B$4+A203),$L$11:$L$12,1)))*(($B$4+A203)-INDEX($L$11:$L$12,MATCH(($B$4+A203),$L$11:$L$12,1)))/(INDEX($L$11:$L$12,MATCH(($B$4+A203),$L$11:$L$12,1)+1)-INDEX($L$11:$L$12,MATCH(($B$4+A203),$L$11:$L$12,1)))))))/(1-(IF(($B$4+A203)&lt;=$I$11,$J$11,IF(($B$4+A203)&gt;=$I$33,$J$33,INDEX($J$11:$J$33,MATCH(($B$4+A203),$I$11:$I$33,1))+(INDEX($J$11:$J$33,MATCH(($B$4+A203),$I$11:$I$33,1)+1)-INDEX($J$11:$J$33,MATCH(($B$4+A203),$I$11:$I$33,1)))*(($B$4+A203)-INDEX($I$11:$I$33,MATCH(($B$4+A203),$I$11:$I$33,1)))/(INDEX($I$11:$I$33,MATCH(($B$4+A203),$I$11:$I$33,1)+1)-INDEX($I$11:$I$33,MATCH(($B$4+A203),$I$11:$I$33,1))))))),1)</f>
        <v>1</v>
      </c>
      <c r="D203" s="43" t="n">
        <f aca="false">B203*(1+$B$30)^(-A203)</f>
        <v>0.491349001360646</v>
      </c>
      <c r="E203" s="43" t="n">
        <f aca="false">B203*C203*(1+$B$5)^(-A203)</f>
        <v>1</v>
      </c>
      <c r="G203" s="32" t="n">
        <f aca="false">$B$31+0.125+143*0.25</f>
        <v>98.315</v>
      </c>
      <c r="H203" s="27" t="n">
        <f aca="false">IF(G203&lt;$B$33,1,0)</f>
        <v>0</v>
      </c>
      <c r="I203" s="43" t="n">
        <f aca="false">H203*(1-$B$6)^(G203-$B$31)*(1+$B$30)^(-G203)</f>
        <v>0</v>
      </c>
      <c r="J203" s="43" t="n">
        <f aca="false">H203*(1-$B$6)^(G203-$B$31)*L203*(1+$B$5)^(-G203)</f>
        <v>0</v>
      </c>
      <c r="L203" s="43" t="n">
        <f aca="false">IF($B$7="Oui",1-(IF(($B$4+G203)&lt;=$L$11,$M$11,IF(($B$4+G203)&gt;=$L$12,$M$12,INDEX($M$11:$M$12,MATCH(($B$4+G203),$L$11:$L$12,1))+(INDEX($M$11:$M$12,MATCH(($B$4+G203),$L$11:$L$12,1)+1)-INDEX($M$11:$M$12,MATCH(($B$4+G203),$L$11:$L$12,1)))*(($B$4+G203)-INDEX($L$11:$L$12,MATCH(($B$4+G203),$L$11:$L$12,1)))/(INDEX($L$11:$L$12,MATCH(($B$4+G203),$L$11:$L$12,1)+1)-INDEX($L$11:$L$12,MATCH(($B$4+G203),$L$11:$L$12,1)))))),1)</f>
        <v>1</v>
      </c>
    </row>
    <row r="204" customFormat="false" ht="15" hidden="false" customHeight="false" outlineLevel="0" collapsed="false">
      <c r="A204" s="32" t="n">
        <f aca="false">$B$32+0.125+144*0.25</f>
        <v>59.235</v>
      </c>
      <c r="B204" s="27" t="n">
        <f aca="false">IF(A204&lt;$B$31,1,0)</f>
        <v>1</v>
      </c>
      <c r="C204" s="43" t="n">
        <f aca="false">IF($B$7="Oui",1+((IF(($B$4+A204)&lt;=$I$11,$J$11,IF(($B$4+A204)&gt;=$I$33,$J$33,INDEX($J$11:$J$33,MATCH(($B$4+A204),$I$11:$I$33,1))+(INDEX($J$11:$J$33,MATCH(($B$4+A204),$I$11:$I$33,1)+1)-INDEX($J$11:$J$33,MATCH(($B$4+A204),$I$11:$I$33,1)))*(($B$4+A204)-INDEX($I$11:$I$33,MATCH(($B$4+A204),$I$11:$I$33,1)))/(INDEX($I$11:$I$33,MATCH(($B$4+A204),$I$11:$I$33,1)+1)-INDEX($I$11:$I$33,MATCH(($B$4+A204),$I$11:$I$33,1))))))-(IF(($B$4+A204)&lt;=$L$11,$M$11,IF(($B$4+A204)&gt;=$L$12,$M$12,INDEX($M$11:$M$12,MATCH(($B$4+A204),$L$11:$L$12,1))+(INDEX($M$11:$M$12,MATCH(($B$4+A204),$L$11:$L$12,1)+1)-INDEX($M$11:$M$12,MATCH(($B$4+A204),$L$11:$L$12,1)))*(($B$4+A204)-INDEX($L$11:$L$12,MATCH(($B$4+A204),$L$11:$L$12,1)))/(INDEX($L$11:$L$12,MATCH(($B$4+A204),$L$11:$L$12,1)+1)-INDEX($L$11:$L$12,MATCH(($B$4+A204),$L$11:$L$12,1)))))))/(1-(IF(($B$4+A204)&lt;=$I$11,$J$11,IF(($B$4+A204)&gt;=$I$33,$J$33,INDEX($J$11:$J$33,MATCH(($B$4+A204),$I$11:$I$33,1))+(INDEX($J$11:$J$33,MATCH(($B$4+A204),$I$11:$I$33,1)+1)-INDEX($J$11:$J$33,MATCH(($B$4+A204),$I$11:$I$33,1)))*(($B$4+A204)-INDEX($I$11:$I$33,MATCH(($B$4+A204),$I$11:$I$33,1)))/(INDEX($I$11:$I$33,MATCH(($B$4+A204),$I$11:$I$33,1)+1)-INDEX($I$11:$I$33,MATCH(($B$4+A204),$I$11:$I$33,1))))))),1)</f>
        <v>1</v>
      </c>
      <c r="D204" s="43" t="n">
        <f aca="false">B204*(1+$B$30)^(-A204)</f>
        <v>0.48987138993778</v>
      </c>
      <c r="E204" s="43" t="n">
        <f aca="false">B204*C204*(1+$B$5)^(-A204)</f>
        <v>1</v>
      </c>
      <c r="G204" s="32" t="n">
        <f aca="false">$B$31+0.125+144*0.25</f>
        <v>98.565</v>
      </c>
      <c r="H204" s="27" t="n">
        <f aca="false">IF(G204&lt;$B$33,1,0)</f>
        <v>0</v>
      </c>
      <c r="I204" s="43" t="n">
        <f aca="false">H204*(1-$B$6)^(G204-$B$31)*(1+$B$30)^(-G204)</f>
        <v>0</v>
      </c>
      <c r="J204" s="43" t="n">
        <f aca="false">H204*(1-$B$6)^(G204-$B$31)*L204*(1+$B$5)^(-G204)</f>
        <v>0</v>
      </c>
      <c r="L204" s="43" t="n">
        <f aca="false">IF($B$7="Oui",1-(IF(($B$4+G204)&lt;=$L$11,$M$11,IF(($B$4+G204)&gt;=$L$12,$M$12,INDEX($M$11:$M$12,MATCH(($B$4+G204),$L$11:$L$12,1))+(INDEX($M$11:$M$12,MATCH(($B$4+G204),$L$11:$L$12,1)+1)-INDEX($M$11:$M$12,MATCH(($B$4+G204),$L$11:$L$12,1)))*(($B$4+G204)-INDEX($L$11:$L$12,MATCH(($B$4+G204),$L$11:$L$12,1)))/(INDEX($L$11:$L$12,MATCH(($B$4+G204),$L$11:$L$12,1)+1)-INDEX($L$11:$L$12,MATCH(($B$4+G204),$L$11:$L$12,1)))))),1)</f>
        <v>1</v>
      </c>
    </row>
    <row r="205" customFormat="false" ht="15" hidden="false" customHeight="false" outlineLevel="0" collapsed="false">
      <c r="A205" s="32" t="n">
        <f aca="false">$B$32+0.125+145*0.25</f>
        <v>59.485</v>
      </c>
      <c r="B205" s="27" t="n">
        <f aca="false">IF(A205&lt;$B$31,1,0)</f>
        <v>1</v>
      </c>
      <c r="C205" s="43" t="n">
        <f aca="false">IF($B$7="Oui",1+((IF(($B$4+A205)&lt;=$I$11,$J$11,IF(($B$4+A205)&gt;=$I$33,$J$33,INDEX($J$11:$J$33,MATCH(($B$4+A205),$I$11:$I$33,1))+(INDEX($J$11:$J$33,MATCH(($B$4+A205),$I$11:$I$33,1)+1)-INDEX($J$11:$J$33,MATCH(($B$4+A205),$I$11:$I$33,1)))*(($B$4+A205)-INDEX($I$11:$I$33,MATCH(($B$4+A205),$I$11:$I$33,1)))/(INDEX($I$11:$I$33,MATCH(($B$4+A205),$I$11:$I$33,1)+1)-INDEX($I$11:$I$33,MATCH(($B$4+A205),$I$11:$I$33,1))))))-(IF(($B$4+A205)&lt;=$L$11,$M$11,IF(($B$4+A205)&gt;=$L$12,$M$12,INDEX($M$11:$M$12,MATCH(($B$4+A205),$L$11:$L$12,1))+(INDEX($M$11:$M$12,MATCH(($B$4+A205),$L$11:$L$12,1)+1)-INDEX($M$11:$M$12,MATCH(($B$4+A205),$L$11:$L$12,1)))*(($B$4+A205)-INDEX($L$11:$L$12,MATCH(($B$4+A205),$L$11:$L$12,1)))/(INDEX($L$11:$L$12,MATCH(($B$4+A205),$L$11:$L$12,1)+1)-INDEX($L$11:$L$12,MATCH(($B$4+A205),$L$11:$L$12,1)))))))/(1-(IF(($B$4+A205)&lt;=$I$11,$J$11,IF(($B$4+A205)&gt;=$I$33,$J$33,INDEX($J$11:$J$33,MATCH(($B$4+A205),$I$11:$I$33,1))+(INDEX($J$11:$J$33,MATCH(($B$4+A205),$I$11:$I$33,1)+1)-INDEX($J$11:$J$33,MATCH(($B$4+A205),$I$11:$I$33,1)))*(($B$4+A205)-INDEX($I$11:$I$33,MATCH(($B$4+A205),$I$11:$I$33,1)))/(INDEX($I$11:$I$33,MATCH(($B$4+A205),$I$11:$I$33,1)+1)-INDEX($I$11:$I$33,MATCH(($B$4+A205),$I$11:$I$33,1))))))),1)</f>
        <v>1</v>
      </c>
      <c r="D205" s="43" t="n">
        <f aca="false">B205*(1+$B$30)^(-A205)</f>
        <v>0.488398222068296</v>
      </c>
      <c r="E205" s="43" t="n">
        <f aca="false">B205*C205*(1+$B$5)^(-A205)</f>
        <v>1</v>
      </c>
      <c r="G205" s="32" t="n">
        <f aca="false">$B$31+0.125+145*0.25</f>
        <v>98.815</v>
      </c>
      <c r="H205" s="27" t="n">
        <f aca="false">IF(G205&lt;$B$33,1,0)</f>
        <v>0</v>
      </c>
      <c r="I205" s="43" t="n">
        <f aca="false">H205*(1-$B$6)^(G205-$B$31)*(1+$B$30)^(-G205)</f>
        <v>0</v>
      </c>
      <c r="J205" s="43" t="n">
        <f aca="false">H205*(1-$B$6)^(G205-$B$31)*L205*(1+$B$5)^(-G205)</f>
        <v>0</v>
      </c>
      <c r="L205" s="43" t="n">
        <f aca="false">IF($B$7="Oui",1-(IF(($B$4+G205)&lt;=$L$11,$M$11,IF(($B$4+G205)&gt;=$L$12,$M$12,INDEX($M$11:$M$12,MATCH(($B$4+G205),$L$11:$L$12,1))+(INDEX($M$11:$M$12,MATCH(($B$4+G205),$L$11:$L$12,1)+1)-INDEX($M$11:$M$12,MATCH(($B$4+G205),$L$11:$L$12,1)))*(($B$4+G205)-INDEX($L$11:$L$12,MATCH(($B$4+G205),$L$11:$L$12,1)))/(INDEX($L$11:$L$12,MATCH(($B$4+G205),$L$11:$L$12,1)+1)-INDEX($L$11:$L$12,MATCH(($B$4+G205),$L$11:$L$12,1)))))),1)</f>
        <v>1</v>
      </c>
    </row>
    <row r="206" customFormat="false" ht="15" hidden="false" customHeight="false" outlineLevel="0" collapsed="false">
      <c r="A206" s="32" t="n">
        <f aca="false">$B$32+0.125+146*0.25</f>
        <v>59.735</v>
      </c>
      <c r="B206" s="27" t="n">
        <f aca="false">IF(A206&lt;$B$31,1,0)</f>
        <v>1</v>
      </c>
      <c r="C206" s="43" t="n">
        <f aca="false">IF($B$7="Oui",1+((IF(($B$4+A206)&lt;=$I$11,$J$11,IF(($B$4+A206)&gt;=$I$33,$J$33,INDEX($J$11:$J$33,MATCH(($B$4+A206),$I$11:$I$33,1))+(INDEX($J$11:$J$33,MATCH(($B$4+A206),$I$11:$I$33,1)+1)-INDEX($J$11:$J$33,MATCH(($B$4+A206),$I$11:$I$33,1)))*(($B$4+A206)-INDEX($I$11:$I$33,MATCH(($B$4+A206),$I$11:$I$33,1)))/(INDEX($I$11:$I$33,MATCH(($B$4+A206),$I$11:$I$33,1)+1)-INDEX($I$11:$I$33,MATCH(($B$4+A206),$I$11:$I$33,1))))))-(IF(($B$4+A206)&lt;=$L$11,$M$11,IF(($B$4+A206)&gt;=$L$12,$M$12,INDEX($M$11:$M$12,MATCH(($B$4+A206),$L$11:$L$12,1))+(INDEX($M$11:$M$12,MATCH(($B$4+A206),$L$11:$L$12,1)+1)-INDEX($M$11:$M$12,MATCH(($B$4+A206),$L$11:$L$12,1)))*(($B$4+A206)-INDEX($L$11:$L$12,MATCH(($B$4+A206),$L$11:$L$12,1)))/(INDEX($L$11:$L$12,MATCH(($B$4+A206),$L$11:$L$12,1)+1)-INDEX($L$11:$L$12,MATCH(($B$4+A206),$L$11:$L$12,1)))))))/(1-(IF(($B$4+A206)&lt;=$I$11,$J$11,IF(($B$4+A206)&gt;=$I$33,$J$33,INDEX($J$11:$J$33,MATCH(($B$4+A206),$I$11:$I$33,1))+(INDEX($J$11:$J$33,MATCH(($B$4+A206),$I$11:$I$33,1)+1)-INDEX($J$11:$J$33,MATCH(($B$4+A206),$I$11:$I$33,1)))*(($B$4+A206)-INDEX($I$11:$I$33,MATCH(($B$4+A206),$I$11:$I$33,1)))/(INDEX($I$11:$I$33,MATCH(($B$4+A206),$I$11:$I$33,1)+1)-INDEX($I$11:$I$33,MATCH(($B$4+A206),$I$11:$I$33,1))))))),1)</f>
        <v>1</v>
      </c>
      <c r="D206" s="43" t="n">
        <f aca="false">B206*(1+$B$30)^(-A206)</f>
        <v>0.486929484389299</v>
      </c>
      <c r="E206" s="43" t="n">
        <f aca="false">B206*C206*(1+$B$5)^(-A206)</f>
        <v>1</v>
      </c>
      <c r="G206" s="32" t="n">
        <f aca="false">$B$31+0.125+146*0.25</f>
        <v>99.065</v>
      </c>
      <c r="H206" s="27" t="n">
        <f aca="false">IF(G206&lt;$B$33,1,0)</f>
        <v>0</v>
      </c>
      <c r="I206" s="43" t="n">
        <f aca="false">H206*(1-$B$6)^(G206-$B$31)*(1+$B$30)^(-G206)</f>
        <v>0</v>
      </c>
      <c r="J206" s="43" t="n">
        <f aca="false">H206*(1-$B$6)^(G206-$B$31)*L206*(1+$B$5)^(-G206)</f>
        <v>0</v>
      </c>
      <c r="L206" s="43" t="n">
        <f aca="false">IF($B$7="Oui",1-(IF(($B$4+G206)&lt;=$L$11,$M$11,IF(($B$4+G206)&gt;=$L$12,$M$12,INDEX($M$11:$M$12,MATCH(($B$4+G206),$L$11:$L$12,1))+(INDEX($M$11:$M$12,MATCH(($B$4+G206),$L$11:$L$12,1)+1)-INDEX($M$11:$M$12,MATCH(($B$4+G206),$L$11:$L$12,1)))*(($B$4+G206)-INDEX($L$11:$L$12,MATCH(($B$4+G206),$L$11:$L$12,1)))/(INDEX($L$11:$L$12,MATCH(($B$4+G206),$L$11:$L$12,1)+1)-INDEX($L$11:$L$12,MATCH(($B$4+G206),$L$11:$L$12,1)))))),1)</f>
        <v>1</v>
      </c>
    </row>
    <row r="207" customFormat="false" ht="15" hidden="false" customHeight="false" outlineLevel="0" collapsed="false">
      <c r="A207" s="32" t="n">
        <f aca="false">$B$32+0.125+147*0.25</f>
        <v>59.985</v>
      </c>
      <c r="B207" s="27" t="n">
        <f aca="false">IF(A207&lt;$B$31,1,0)</f>
        <v>1</v>
      </c>
      <c r="C207" s="43" t="n">
        <f aca="false">IF($B$7="Oui",1+((IF(($B$4+A207)&lt;=$I$11,$J$11,IF(($B$4+A207)&gt;=$I$33,$J$33,INDEX($J$11:$J$33,MATCH(($B$4+A207),$I$11:$I$33,1))+(INDEX($J$11:$J$33,MATCH(($B$4+A207),$I$11:$I$33,1)+1)-INDEX($J$11:$J$33,MATCH(($B$4+A207),$I$11:$I$33,1)))*(($B$4+A207)-INDEX($I$11:$I$33,MATCH(($B$4+A207),$I$11:$I$33,1)))/(INDEX($I$11:$I$33,MATCH(($B$4+A207),$I$11:$I$33,1)+1)-INDEX($I$11:$I$33,MATCH(($B$4+A207),$I$11:$I$33,1))))))-(IF(($B$4+A207)&lt;=$L$11,$M$11,IF(($B$4+A207)&gt;=$L$12,$M$12,INDEX($M$11:$M$12,MATCH(($B$4+A207),$L$11:$L$12,1))+(INDEX($M$11:$M$12,MATCH(($B$4+A207),$L$11:$L$12,1)+1)-INDEX($M$11:$M$12,MATCH(($B$4+A207),$L$11:$L$12,1)))*(($B$4+A207)-INDEX($L$11:$L$12,MATCH(($B$4+A207),$L$11:$L$12,1)))/(INDEX($L$11:$L$12,MATCH(($B$4+A207),$L$11:$L$12,1)+1)-INDEX($L$11:$L$12,MATCH(($B$4+A207),$L$11:$L$12,1)))))))/(1-(IF(($B$4+A207)&lt;=$I$11,$J$11,IF(($B$4+A207)&gt;=$I$33,$J$33,INDEX($J$11:$J$33,MATCH(($B$4+A207),$I$11:$I$33,1))+(INDEX($J$11:$J$33,MATCH(($B$4+A207),$I$11:$I$33,1)+1)-INDEX($J$11:$J$33,MATCH(($B$4+A207),$I$11:$I$33,1)))*(($B$4+A207)-INDEX($I$11:$I$33,MATCH(($B$4+A207),$I$11:$I$33,1)))/(INDEX($I$11:$I$33,MATCH(($B$4+A207),$I$11:$I$33,1)+1)-INDEX($I$11:$I$33,MATCH(($B$4+A207),$I$11:$I$33,1))))))),1)</f>
        <v>1</v>
      </c>
      <c r="D207" s="43" t="n">
        <f aca="false">B207*(1+$B$30)^(-A207)</f>
        <v>0.48546516357808</v>
      </c>
      <c r="E207" s="43" t="n">
        <f aca="false">B207*C207*(1+$B$5)^(-A207)</f>
        <v>1</v>
      </c>
      <c r="G207" s="32" t="n">
        <f aca="false">$B$31+0.125+147*0.25</f>
        <v>99.315</v>
      </c>
      <c r="H207" s="27" t="n">
        <f aca="false">IF(G207&lt;$B$33,1,0)</f>
        <v>0</v>
      </c>
      <c r="I207" s="43" t="n">
        <f aca="false">H207*(1-$B$6)^(G207-$B$31)*(1+$B$30)^(-G207)</f>
        <v>0</v>
      </c>
      <c r="J207" s="43" t="n">
        <f aca="false">H207*(1-$B$6)^(G207-$B$31)*L207*(1+$B$5)^(-G207)</f>
        <v>0</v>
      </c>
      <c r="L207" s="43" t="n">
        <f aca="false">IF($B$7="Oui",1-(IF(($B$4+G207)&lt;=$L$11,$M$11,IF(($B$4+G207)&gt;=$L$12,$M$12,INDEX($M$11:$M$12,MATCH(($B$4+G207),$L$11:$L$12,1))+(INDEX($M$11:$M$12,MATCH(($B$4+G207),$L$11:$L$12,1)+1)-INDEX($M$11:$M$12,MATCH(($B$4+G207),$L$11:$L$12,1)))*(($B$4+G207)-INDEX($L$11:$L$12,MATCH(($B$4+G207),$L$11:$L$12,1)))/(INDEX($L$11:$L$12,MATCH(($B$4+G207),$L$11:$L$12,1)+1)-INDEX($L$11:$L$12,MATCH(($B$4+G207),$L$11:$L$12,1)))))),1)</f>
        <v>1</v>
      </c>
    </row>
    <row r="208" customFormat="false" ht="15" hidden="false" customHeight="false" outlineLevel="0" collapsed="false">
      <c r="A208" s="32" t="n">
        <f aca="false">$B$32+0.125+148*0.25</f>
        <v>60.235</v>
      </c>
      <c r="B208" s="27" t="n">
        <f aca="false">IF(A208&lt;$B$31,1,0)</f>
        <v>1</v>
      </c>
      <c r="C208" s="43" t="n">
        <f aca="false">IF($B$7="Oui",1+((IF(($B$4+A208)&lt;=$I$11,$J$11,IF(($B$4+A208)&gt;=$I$33,$J$33,INDEX($J$11:$J$33,MATCH(($B$4+A208),$I$11:$I$33,1))+(INDEX($J$11:$J$33,MATCH(($B$4+A208),$I$11:$I$33,1)+1)-INDEX($J$11:$J$33,MATCH(($B$4+A208),$I$11:$I$33,1)))*(($B$4+A208)-INDEX($I$11:$I$33,MATCH(($B$4+A208),$I$11:$I$33,1)))/(INDEX($I$11:$I$33,MATCH(($B$4+A208),$I$11:$I$33,1)+1)-INDEX($I$11:$I$33,MATCH(($B$4+A208),$I$11:$I$33,1))))))-(IF(($B$4+A208)&lt;=$L$11,$M$11,IF(($B$4+A208)&gt;=$L$12,$M$12,INDEX($M$11:$M$12,MATCH(($B$4+A208),$L$11:$L$12,1))+(INDEX($M$11:$M$12,MATCH(($B$4+A208),$L$11:$L$12,1)+1)-INDEX($M$11:$M$12,MATCH(($B$4+A208),$L$11:$L$12,1)))*(($B$4+A208)-INDEX($L$11:$L$12,MATCH(($B$4+A208),$L$11:$L$12,1)))/(INDEX($L$11:$L$12,MATCH(($B$4+A208),$L$11:$L$12,1)+1)-INDEX($L$11:$L$12,MATCH(($B$4+A208),$L$11:$L$12,1)))))))/(1-(IF(($B$4+A208)&lt;=$I$11,$J$11,IF(($B$4+A208)&gt;=$I$33,$J$33,INDEX($J$11:$J$33,MATCH(($B$4+A208),$I$11:$I$33,1))+(INDEX($J$11:$J$33,MATCH(($B$4+A208),$I$11:$I$33,1)+1)-INDEX($J$11:$J$33,MATCH(($B$4+A208),$I$11:$I$33,1)))*(($B$4+A208)-INDEX($I$11:$I$33,MATCH(($B$4+A208),$I$11:$I$33,1)))/(INDEX($I$11:$I$33,MATCH(($B$4+A208),$I$11:$I$33,1)+1)-INDEX($I$11:$I$33,MATCH(($B$4+A208),$I$11:$I$33,1))))))),1)</f>
        <v>1</v>
      </c>
      <c r="D208" s="43" t="n">
        <f aca="false">B208*(1+$B$30)^(-A208)</f>
        <v>0.484005246351994</v>
      </c>
      <c r="E208" s="43" t="n">
        <f aca="false">B208*C208*(1+$B$5)^(-A208)</f>
        <v>1</v>
      </c>
      <c r="G208" s="32" t="n">
        <f aca="false">$B$31+0.125+148*0.25</f>
        <v>99.565</v>
      </c>
      <c r="H208" s="27" t="n">
        <f aca="false">IF(G208&lt;$B$33,1,0)</f>
        <v>0</v>
      </c>
      <c r="I208" s="43" t="n">
        <f aca="false">H208*(1-$B$6)^(G208-$B$31)*(1+$B$30)^(-G208)</f>
        <v>0</v>
      </c>
      <c r="J208" s="43" t="n">
        <f aca="false">H208*(1-$B$6)^(G208-$B$31)*L208*(1+$B$5)^(-G208)</f>
        <v>0</v>
      </c>
      <c r="L208" s="43" t="n">
        <f aca="false">IF($B$7="Oui",1-(IF(($B$4+G208)&lt;=$L$11,$M$11,IF(($B$4+G208)&gt;=$L$12,$M$12,INDEX($M$11:$M$12,MATCH(($B$4+G208),$L$11:$L$12,1))+(INDEX($M$11:$M$12,MATCH(($B$4+G208),$L$11:$L$12,1)+1)-INDEX($M$11:$M$12,MATCH(($B$4+G208),$L$11:$L$12,1)))*(($B$4+G208)-INDEX($L$11:$L$12,MATCH(($B$4+G208),$L$11:$L$12,1)))/(INDEX($L$11:$L$12,MATCH(($B$4+G208),$L$11:$L$12,1)+1)-INDEX($L$11:$L$12,MATCH(($B$4+G208),$L$11:$L$12,1)))))),1)</f>
        <v>1</v>
      </c>
    </row>
    <row r="209" customFormat="false" ht="15" hidden="false" customHeight="false" outlineLevel="0" collapsed="false">
      <c r="A209" s="32" t="n">
        <f aca="false">$B$32+0.125+149*0.25</f>
        <v>60.485</v>
      </c>
      <c r="B209" s="27" t="n">
        <f aca="false">IF(A209&lt;$B$31,1,0)</f>
        <v>1</v>
      </c>
      <c r="C209" s="43" t="n">
        <f aca="false">IF($B$7="Oui",1+((IF(($B$4+A209)&lt;=$I$11,$J$11,IF(($B$4+A209)&gt;=$I$33,$J$33,INDEX($J$11:$J$33,MATCH(($B$4+A209),$I$11:$I$33,1))+(INDEX($J$11:$J$33,MATCH(($B$4+A209),$I$11:$I$33,1)+1)-INDEX($J$11:$J$33,MATCH(($B$4+A209),$I$11:$I$33,1)))*(($B$4+A209)-INDEX($I$11:$I$33,MATCH(($B$4+A209),$I$11:$I$33,1)))/(INDEX($I$11:$I$33,MATCH(($B$4+A209),$I$11:$I$33,1)+1)-INDEX($I$11:$I$33,MATCH(($B$4+A209),$I$11:$I$33,1))))))-(IF(($B$4+A209)&lt;=$L$11,$M$11,IF(($B$4+A209)&gt;=$L$12,$M$12,INDEX($M$11:$M$12,MATCH(($B$4+A209),$L$11:$L$12,1))+(INDEX($M$11:$M$12,MATCH(($B$4+A209),$L$11:$L$12,1)+1)-INDEX($M$11:$M$12,MATCH(($B$4+A209),$L$11:$L$12,1)))*(($B$4+A209)-INDEX($L$11:$L$12,MATCH(($B$4+A209),$L$11:$L$12,1)))/(INDEX($L$11:$L$12,MATCH(($B$4+A209),$L$11:$L$12,1)+1)-INDEX($L$11:$L$12,MATCH(($B$4+A209),$L$11:$L$12,1)))))))/(1-(IF(($B$4+A209)&lt;=$I$11,$J$11,IF(($B$4+A209)&gt;=$I$33,$J$33,INDEX($J$11:$J$33,MATCH(($B$4+A209),$I$11:$I$33,1))+(INDEX($J$11:$J$33,MATCH(($B$4+A209),$I$11:$I$33,1)+1)-INDEX($J$11:$J$33,MATCH(($B$4+A209),$I$11:$I$33,1)))*(($B$4+A209)-INDEX($I$11:$I$33,MATCH(($B$4+A209),$I$11:$I$33,1)))/(INDEX($I$11:$I$33,MATCH(($B$4+A209),$I$11:$I$33,1)+1)-INDEX($I$11:$I$33,MATCH(($B$4+A209),$I$11:$I$33,1))))))),1)</f>
        <v>1</v>
      </c>
      <c r="D209" s="43" t="n">
        <f aca="false">B209*(1+$B$30)^(-A209)</f>
        <v>0.48254971946834</v>
      </c>
      <c r="E209" s="43" t="n">
        <f aca="false">B209*C209*(1+$B$5)^(-A209)</f>
        <v>1</v>
      </c>
      <c r="G209" s="32" t="n">
        <f aca="false">$B$31+0.125+149*0.25</f>
        <v>99.815</v>
      </c>
      <c r="H209" s="27" t="n">
        <f aca="false">IF(G209&lt;$B$33,1,0)</f>
        <v>0</v>
      </c>
      <c r="I209" s="43" t="n">
        <f aca="false">H209*(1-$B$6)^(G209-$B$31)*(1+$B$30)^(-G209)</f>
        <v>0</v>
      </c>
      <c r="J209" s="43" t="n">
        <f aca="false">H209*(1-$B$6)^(G209-$B$31)*L209*(1+$B$5)^(-G209)</f>
        <v>0</v>
      </c>
      <c r="L209" s="43" t="n">
        <f aca="false">IF($B$7="Oui",1-(IF(($B$4+G209)&lt;=$L$11,$M$11,IF(($B$4+G209)&gt;=$L$12,$M$12,INDEX($M$11:$M$12,MATCH(($B$4+G209),$L$11:$L$12,1))+(INDEX($M$11:$M$12,MATCH(($B$4+G209),$L$11:$L$12,1)+1)-INDEX($M$11:$M$12,MATCH(($B$4+G209),$L$11:$L$12,1)))*(($B$4+G209)-INDEX($L$11:$L$12,MATCH(($B$4+G209),$L$11:$L$12,1)))/(INDEX($L$11:$L$12,MATCH(($B$4+G209),$L$11:$L$12,1)+1)-INDEX($L$11:$L$12,MATCH(($B$4+G209),$L$11:$L$12,1)))))),1)</f>
        <v>1</v>
      </c>
    </row>
    <row r="210" customFormat="false" ht="15" hidden="false" customHeight="false" outlineLevel="0" collapsed="false">
      <c r="A210" s="32" t="n">
        <f aca="false">$B$32+0.125+150*0.25</f>
        <v>60.735</v>
      </c>
      <c r="B210" s="27" t="n">
        <f aca="false">IF(A210&lt;$B$31,1,0)</f>
        <v>1</v>
      </c>
      <c r="C210" s="43" t="n">
        <f aca="false">IF($B$7="Oui",1+((IF(($B$4+A210)&lt;=$I$11,$J$11,IF(($B$4+A210)&gt;=$I$33,$J$33,INDEX($J$11:$J$33,MATCH(($B$4+A210),$I$11:$I$33,1))+(INDEX($J$11:$J$33,MATCH(($B$4+A210),$I$11:$I$33,1)+1)-INDEX($J$11:$J$33,MATCH(($B$4+A210),$I$11:$I$33,1)))*(($B$4+A210)-INDEX($I$11:$I$33,MATCH(($B$4+A210),$I$11:$I$33,1)))/(INDEX($I$11:$I$33,MATCH(($B$4+A210),$I$11:$I$33,1)+1)-INDEX($I$11:$I$33,MATCH(($B$4+A210),$I$11:$I$33,1))))))-(IF(($B$4+A210)&lt;=$L$11,$M$11,IF(($B$4+A210)&gt;=$L$12,$M$12,INDEX($M$11:$M$12,MATCH(($B$4+A210),$L$11:$L$12,1))+(INDEX($M$11:$M$12,MATCH(($B$4+A210),$L$11:$L$12,1)+1)-INDEX($M$11:$M$12,MATCH(($B$4+A210),$L$11:$L$12,1)))*(($B$4+A210)-INDEX($L$11:$L$12,MATCH(($B$4+A210),$L$11:$L$12,1)))/(INDEX($L$11:$L$12,MATCH(($B$4+A210),$L$11:$L$12,1)+1)-INDEX($L$11:$L$12,MATCH(($B$4+A210),$L$11:$L$12,1)))))))/(1-(IF(($B$4+A210)&lt;=$I$11,$J$11,IF(($B$4+A210)&gt;=$I$33,$J$33,INDEX($J$11:$J$33,MATCH(($B$4+A210),$I$11:$I$33,1))+(INDEX($J$11:$J$33,MATCH(($B$4+A210),$I$11:$I$33,1)+1)-INDEX($J$11:$J$33,MATCH(($B$4+A210),$I$11:$I$33,1)))*(($B$4+A210)-INDEX($I$11:$I$33,MATCH(($B$4+A210),$I$11:$I$33,1)))/(INDEX($I$11:$I$33,MATCH(($B$4+A210),$I$11:$I$33,1)+1)-INDEX($I$11:$I$33,MATCH(($B$4+A210),$I$11:$I$33,1))))))),1)</f>
        <v>1</v>
      </c>
      <c r="D210" s="43" t="n">
        <f aca="false">B210*(1+$B$30)^(-A210)</f>
        <v>0.481098569724241</v>
      </c>
      <c r="E210" s="43" t="n">
        <f aca="false">B210*C210*(1+$B$5)^(-A210)</f>
        <v>1</v>
      </c>
      <c r="G210" s="32" t="n">
        <f aca="false">$B$31+0.125+150*0.25</f>
        <v>100.065</v>
      </c>
      <c r="H210" s="27" t="n">
        <f aca="false">IF(G210&lt;$B$33,1,0)</f>
        <v>0</v>
      </c>
      <c r="I210" s="43" t="n">
        <f aca="false">H210*(1-$B$6)^(G210-$B$31)*(1+$B$30)^(-G210)</f>
        <v>0</v>
      </c>
      <c r="J210" s="43" t="n">
        <f aca="false">H210*(1-$B$6)^(G210-$B$31)*L210*(1+$B$5)^(-G210)</f>
        <v>0</v>
      </c>
      <c r="L210" s="43" t="n">
        <f aca="false">IF($B$7="Oui",1-(IF(($B$4+G210)&lt;=$L$11,$M$11,IF(($B$4+G210)&gt;=$L$12,$M$12,INDEX($M$11:$M$12,MATCH(($B$4+G210),$L$11:$L$12,1))+(INDEX($M$11:$M$12,MATCH(($B$4+G210),$L$11:$L$12,1)+1)-INDEX($M$11:$M$12,MATCH(($B$4+G210),$L$11:$L$12,1)))*(($B$4+G210)-INDEX($L$11:$L$12,MATCH(($B$4+G210),$L$11:$L$12,1)))/(INDEX($L$11:$L$12,MATCH(($B$4+G210),$L$11:$L$12,1)+1)-INDEX($L$11:$L$12,MATCH(($B$4+G210),$L$11:$L$12,1)))))),1)</f>
        <v>1</v>
      </c>
    </row>
    <row r="211" customFormat="false" ht="15" hidden="false" customHeight="false" outlineLevel="0" collapsed="false">
      <c r="A211" s="32" t="n">
        <f aca="false">$B$32+0.125+151*0.25</f>
        <v>60.985</v>
      </c>
      <c r="B211" s="27" t="n">
        <f aca="false">IF(A211&lt;$B$31,1,0)</f>
        <v>1</v>
      </c>
      <c r="C211" s="43" t="n">
        <f aca="false">IF($B$7="Oui",1+((IF(($B$4+A211)&lt;=$I$11,$J$11,IF(($B$4+A211)&gt;=$I$33,$J$33,INDEX($J$11:$J$33,MATCH(($B$4+A211),$I$11:$I$33,1))+(INDEX($J$11:$J$33,MATCH(($B$4+A211),$I$11:$I$33,1)+1)-INDEX($J$11:$J$33,MATCH(($B$4+A211),$I$11:$I$33,1)))*(($B$4+A211)-INDEX($I$11:$I$33,MATCH(($B$4+A211),$I$11:$I$33,1)))/(INDEX($I$11:$I$33,MATCH(($B$4+A211),$I$11:$I$33,1)+1)-INDEX($I$11:$I$33,MATCH(($B$4+A211),$I$11:$I$33,1))))))-(IF(($B$4+A211)&lt;=$L$11,$M$11,IF(($B$4+A211)&gt;=$L$12,$M$12,INDEX($M$11:$M$12,MATCH(($B$4+A211),$L$11:$L$12,1))+(INDEX($M$11:$M$12,MATCH(($B$4+A211),$L$11:$L$12,1)+1)-INDEX($M$11:$M$12,MATCH(($B$4+A211),$L$11:$L$12,1)))*(($B$4+A211)-INDEX($L$11:$L$12,MATCH(($B$4+A211),$L$11:$L$12,1)))/(INDEX($L$11:$L$12,MATCH(($B$4+A211),$L$11:$L$12,1)+1)-INDEX($L$11:$L$12,MATCH(($B$4+A211),$L$11:$L$12,1)))))))/(1-(IF(($B$4+A211)&lt;=$I$11,$J$11,IF(($B$4+A211)&gt;=$I$33,$J$33,INDEX($J$11:$J$33,MATCH(($B$4+A211),$I$11:$I$33,1))+(INDEX($J$11:$J$33,MATCH(($B$4+A211),$I$11:$I$33,1)+1)-INDEX($J$11:$J$33,MATCH(($B$4+A211),$I$11:$I$33,1)))*(($B$4+A211)-INDEX($I$11:$I$33,MATCH(($B$4+A211),$I$11:$I$33,1)))/(INDEX($I$11:$I$33,MATCH(($B$4+A211),$I$11:$I$33,1)+1)-INDEX($I$11:$I$33,MATCH(($B$4+A211),$I$11:$I$33,1))))))),1)</f>
        <v>1</v>
      </c>
      <c r="D211" s="43" t="n">
        <f aca="false">B211*(1+$B$30)^(-A211)</f>
        <v>0.479651783956527</v>
      </c>
      <c r="E211" s="43" t="n">
        <f aca="false">B211*C211*(1+$B$5)^(-A211)</f>
        <v>1</v>
      </c>
      <c r="G211" s="32" t="n">
        <f aca="false">$B$31+0.125+151*0.25</f>
        <v>100.315</v>
      </c>
      <c r="H211" s="27" t="n">
        <f aca="false">IF(G211&lt;$B$33,1,0)</f>
        <v>0</v>
      </c>
      <c r="I211" s="43" t="n">
        <f aca="false">H211*(1-$B$6)^(G211-$B$31)*(1+$B$30)^(-G211)</f>
        <v>0</v>
      </c>
      <c r="J211" s="43" t="n">
        <f aca="false">H211*(1-$B$6)^(G211-$B$31)*L211*(1+$B$5)^(-G211)</f>
        <v>0</v>
      </c>
      <c r="L211" s="43" t="n">
        <f aca="false">IF($B$7="Oui",1-(IF(($B$4+G211)&lt;=$L$11,$M$11,IF(($B$4+G211)&gt;=$L$12,$M$12,INDEX($M$11:$M$12,MATCH(($B$4+G211),$L$11:$L$12,1))+(INDEX($M$11:$M$12,MATCH(($B$4+G211),$L$11:$L$12,1)+1)-INDEX($M$11:$M$12,MATCH(($B$4+G211),$L$11:$L$12,1)))*(($B$4+G211)-INDEX($L$11:$L$12,MATCH(($B$4+G211),$L$11:$L$12,1)))/(INDEX($L$11:$L$12,MATCH(($B$4+G211),$L$11:$L$12,1)+1)-INDEX($L$11:$L$12,MATCH(($B$4+G211),$L$11:$L$12,1)))))),1)</f>
        <v>1</v>
      </c>
    </row>
    <row r="212" customFormat="false" ht="15" hidden="false" customHeight="false" outlineLevel="0" collapsed="false">
      <c r="A212" s="32" t="n">
        <f aca="false">$B$32+0.125+152*0.25</f>
        <v>61.235</v>
      </c>
      <c r="B212" s="27" t="n">
        <f aca="false">IF(A212&lt;$B$31,1,0)</f>
        <v>1</v>
      </c>
      <c r="C212" s="43" t="n">
        <f aca="false">IF($B$7="Oui",1+((IF(($B$4+A212)&lt;=$I$11,$J$11,IF(($B$4+A212)&gt;=$I$33,$J$33,INDEX($J$11:$J$33,MATCH(($B$4+A212),$I$11:$I$33,1))+(INDEX($J$11:$J$33,MATCH(($B$4+A212),$I$11:$I$33,1)+1)-INDEX($J$11:$J$33,MATCH(($B$4+A212),$I$11:$I$33,1)))*(($B$4+A212)-INDEX($I$11:$I$33,MATCH(($B$4+A212),$I$11:$I$33,1)))/(INDEX($I$11:$I$33,MATCH(($B$4+A212),$I$11:$I$33,1)+1)-INDEX($I$11:$I$33,MATCH(($B$4+A212),$I$11:$I$33,1))))))-(IF(($B$4+A212)&lt;=$L$11,$M$11,IF(($B$4+A212)&gt;=$L$12,$M$12,INDEX($M$11:$M$12,MATCH(($B$4+A212),$L$11:$L$12,1))+(INDEX($M$11:$M$12,MATCH(($B$4+A212),$L$11:$L$12,1)+1)-INDEX($M$11:$M$12,MATCH(($B$4+A212),$L$11:$L$12,1)))*(($B$4+A212)-INDEX($L$11:$L$12,MATCH(($B$4+A212),$L$11:$L$12,1)))/(INDEX($L$11:$L$12,MATCH(($B$4+A212),$L$11:$L$12,1)+1)-INDEX($L$11:$L$12,MATCH(($B$4+A212),$L$11:$L$12,1)))))))/(1-(IF(($B$4+A212)&lt;=$I$11,$J$11,IF(($B$4+A212)&gt;=$I$33,$J$33,INDEX($J$11:$J$33,MATCH(($B$4+A212),$I$11:$I$33,1))+(INDEX($J$11:$J$33,MATCH(($B$4+A212),$I$11:$I$33,1)+1)-INDEX($J$11:$J$33,MATCH(($B$4+A212),$I$11:$I$33,1)))*(($B$4+A212)-INDEX($I$11:$I$33,MATCH(($B$4+A212),$I$11:$I$33,1)))/(INDEX($I$11:$I$33,MATCH(($B$4+A212),$I$11:$I$33,1)+1)-INDEX($I$11:$I$33,MATCH(($B$4+A212),$I$11:$I$33,1))))))),1)</f>
        <v>1</v>
      </c>
      <c r="D212" s="43" t="n">
        <f aca="false">B212*(1+$B$30)^(-A212)</f>
        <v>0.478209349041609</v>
      </c>
      <c r="E212" s="43" t="n">
        <f aca="false">B212*C212*(1+$B$5)^(-A212)</f>
        <v>1</v>
      </c>
      <c r="G212" s="32" t="n">
        <f aca="false">$B$31+0.125+152*0.25</f>
        <v>100.565</v>
      </c>
      <c r="H212" s="27" t="n">
        <f aca="false">IF(G212&lt;$B$33,1,0)</f>
        <v>0</v>
      </c>
      <c r="I212" s="43" t="n">
        <f aca="false">H212*(1-$B$6)^(G212-$B$31)*(1+$B$30)^(-G212)</f>
        <v>0</v>
      </c>
      <c r="J212" s="43" t="n">
        <f aca="false">H212*(1-$B$6)^(G212-$B$31)*L212*(1+$B$5)^(-G212)</f>
        <v>0</v>
      </c>
      <c r="L212" s="43" t="n">
        <f aca="false">IF($B$7="Oui",1-(IF(($B$4+G212)&lt;=$L$11,$M$11,IF(($B$4+G212)&gt;=$L$12,$M$12,INDEX($M$11:$M$12,MATCH(($B$4+G212),$L$11:$L$12,1))+(INDEX($M$11:$M$12,MATCH(($B$4+G212),$L$11:$L$12,1)+1)-INDEX($M$11:$M$12,MATCH(($B$4+G212),$L$11:$L$12,1)))*(($B$4+G212)-INDEX($L$11:$L$12,MATCH(($B$4+G212),$L$11:$L$12,1)))/(INDEX($L$11:$L$12,MATCH(($B$4+G212),$L$11:$L$12,1)+1)-INDEX($L$11:$L$12,MATCH(($B$4+G212),$L$11:$L$12,1)))))),1)</f>
        <v>1</v>
      </c>
    </row>
    <row r="213" customFormat="false" ht="15" hidden="false" customHeight="false" outlineLevel="0" collapsed="false">
      <c r="A213" s="32" t="n">
        <f aca="false">$B$32+0.125+153*0.25</f>
        <v>61.485</v>
      </c>
      <c r="B213" s="27" t="n">
        <f aca="false">IF(A213&lt;$B$31,1,0)</f>
        <v>1</v>
      </c>
      <c r="C213" s="43" t="n">
        <f aca="false">IF($B$7="Oui",1+((IF(($B$4+A213)&lt;=$I$11,$J$11,IF(($B$4+A213)&gt;=$I$33,$J$33,INDEX($J$11:$J$33,MATCH(($B$4+A213),$I$11:$I$33,1))+(INDEX($J$11:$J$33,MATCH(($B$4+A213),$I$11:$I$33,1)+1)-INDEX($J$11:$J$33,MATCH(($B$4+A213),$I$11:$I$33,1)))*(($B$4+A213)-INDEX($I$11:$I$33,MATCH(($B$4+A213),$I$11:$I$33,1)))/(INDEX($I$11:$I$33,MATCH(($B$4+A213),$I$11:$I$33,1)+1)-INDEX($I$11:$I$33,MATCH(($B$4+A213),$I$11:$I$33,1))))))-(IF(($B$4+A213)&lt;=$L$11,$M$11,IF(($B$4+A213)&gt;=$L$12,$M$12,INDEX($M$11:$M$12,MATCH(($B$4+A213),$L$11:$L$12,1))+(INDEX($M$11:$M$12,MATCH(($B$4+A213),$L$11:$L$12,1)+1)-INDEX($M$11:$M$12,MATCH(($B$4+A213),$L$11:$L$12,1)))*(($B$4+A213)-INDEX($L$11:$L$12,MATCH(($B$4+A213),$L$11:$L$12,1)))/(INDEX($L$11:$L$12,MATCH(($B$4+A213),$L$11:$L$12,1)+1)-INDEX($L$11:$L$12,MATCH(($B$4+A213),$L$11:$L$12,1)))))))/(1-(IF(($B$4+A213)&lt;=$I$11,$J$11,IF(($B$4+A213)&gt;=$I$33,$J$33,INDEX($J$11:$J$33,MATCH(($B$4+A213),$I$11:$I$33,1))+(INDEX($J$11:$J$33,MATCH(($B$4+A213),$I$11:$I$33,1)+1)-INDEX($J$11:$J$33,MATCH(($B$4+A213),$I$11:$I$33,1)))*(($B$4+A213)-INDEX($I$11:$I$33,MATCH(($B$4+A213),$I$11:$I$33,1)))/(INDEX($I$11:$I$33,MATCH(($B$4+A213),$I$11:$I$33,1)+1)-INDEX($I$11:$I$33,MATCH(($B$4+A213),$I$11:$I$33,1))))))),1)</f>
        <v>1</v>
      </c>
      <c r="D213" s="43" t="n">
        <f aca="false">B213*(1+$B$30)^(-A213)</f>
        <v>0.476771251895368</v>
      </c>
      <c r="E213" s="43" t="n">
        <f aca="false">B213*C213*(1+$B$5)^(-A213)</f>
        <v>1</v>
      </c>
      <c r="G213" s="32" t="n">
        <f aca="false">$B$31+0.125+153*0.25</f>
        <v>100.815</v>
      </c>
      <c r="H213" s="27" t="n">
        <f aca="false">IF(G213&lt;$B$33,1,0)</f>
        <v>0</v>
      </c>
      <c r="I213" s="43" t="n">
        <f aca="false">H213*(1-$B$6)^(G213-$B$31)*(1+$B$30)^(-G213)</f>
        <v>0</v>
      </c>
      <c r="J213" s="43" t="n">
        <f aca="false">H213*(1-$B$6)^(G213-$B$31)*L213*(1+$B$5)^(-G213)</f>
        <v>0</v>
      </c>
      <c r="L213" s="43" t="n">
        <f aca="false">IF($B$7="Oui",1-(IF(($B$4+G213)&lt;=$L$11,$M$11,IF(($B$4+G213)&gt;=$L$12,$M$12,INDEX($M$11:$M$12,MATCH(($B$4+G213),$L$11:$L$12,1))+(INDEX($M$11:$M$12,MATCH(($B$4+G213),$L$11:$L$12,1)+1)-INDEX($M$11:$M$12,MATCH(($B$4+G213),$L$11:$L$12,1)))*(($B$4+G213)-INDEX($L$11:$L$12,MATCH(($B$4+G213),$L$11:$L$12,1)))/(INDEX($L$11:$L$12,MATCH(($B$4+G213),$L$11:$L$12,1)+1)-INDEX($L$11:$L$12,MATCH(($B$4+G213),$L$11:$L$12,1)))))),1)</f>
        <v>1</v>
      </c>
    </row>
    <row r="214" customFormat="false" ht="15" hidden="false" customHeight="false" outlineLevel="0" collapsed="false">
      <c r="A214" s="32" t="n">
        <f aca="false">$B$32+0.125+154*0.25</f>
        <v>61.735</v>
      </c>
      <c r="B214" s="27" t="n">
        <f aca="false">IF(A214&lt;$B$31,1,0)</f>
        <v>1</v>
      </c>
      <c r="C214" s="43" t="n">
        <f aca="false">IF($B$7="Oui",1+((IF(($B$4+A214)&lt;=$I$11,$J$11,IF(($B$4+A214)&gt;=$I$33,$J$33,INDEX($J$11:$J$33,MATCH(($B$4+A214),$I$11:$I$33,1))+(INDEX($J$11:$J$33,MATCH(($B$4+A214),$I$11:$I$33,1)+1)-INDEX($J$11:$J$33,MATCH(($B$4+A214),$I$11:$I$33,1)))*(($B$4+A214)-INDEX($I$11:$I$33,MATCH(($B$4+A214),$I$11:$I$33,1)))/(INDEX($I$11:$I$33,MATCH(($B$4+A214),$I$11:$I$33,1)+1)-INDEX($I$11:$I$33,MATCH(($B$4+A214),$I$11:$I$33,1))))))-(IF(($B$4+A214)&lt;=$L$11,$M$11,IF(($B$4+A214)&gt;=$L$12,$M$12,INDEX($M$11:$M$12,MATCH(($B$4+A214),$L$11:$L$12,1))+(INDEX($M$11:$M$12,MATCH(($B$4+A214),$L$11:$L$12,1)+1)-INDEX($M$11:$M$12,MATCH(($B$4+A214),$L$11:$L$12,1)))*(($B$4+A214)-INDEX($L$11:$L$12,MATCH(($B$4+A214),$L$11:$L$12,1)))/(INDEX($L$11:$L$12,MATCH(($B$4+A214),$L$11:$L$12,1)+1)-INDEX($L$11:$L$12,MATCH(($B$4+A214),$L$11:$L$12,1)))))))/(1-(IF(($B$4+A214)&lt;=$I$11,$J$11,IF(($B$4+A214)&gt;=$I$33,$J$33,INDEX($J$11:$J$33,MATCH(($B$4+A214),$I$11:$I$33,1))+(INDEX($J$11:$J$33,MATCH(($B$4+A214),$I$11:$I$33,1)+1)-INDEX($J$11:$J$33,MATCH(($B$4+A214),$I$11:$I$33,1)))*(($B$4+A214)-INDEX($I$11:$I$33,MATCH(($B$4+A214),$I$11:$I$33,1)))/(INDEX($I$11:$I$33,MATCH(($B$4+A214),$I$11:$I$33,1)+1)-INDEX($I$11:$I$33,MATCH(($B$4+A214),$I$11:$I$33,1))))))),1)</f>
        <v>1</v>
      </c>
      <c r="D214" s="43" t="n">
        <f aca="false">B214*(1+$B$30)^(-A214)</f>
        <v>0.475337479473028</v>
      </c>
      <c r="E214" s="43" t="n">
        <f aca="false">B214*C214*(1+$B$5)^(-A214)</f>
        <v>1</v>
      </c>
      <c r="G214" s="32" t="n">
        <f aca="false">$B$31+0.125+154*0.25</f>
        <v>101.065</v>
      </c>
      <c r="H214" s="27" t="n">
        <f aca="false">IF(G214&lt;$B$33,1,0)</f>
        <v>0</v>
      </c>
      <c r="I214" s="43" t="n">
        <f aca="false">H214*(1-$B$6)^(G214-$B$31)*(1+$B$30)^(-G214)</f>
        <v>0</v>
      </c>
      <c r="J214" s="43" t="n">
        <f aca="false">H214*(1-$B$6)^(G214-$B$31)*L214*(1+$B$5)^(-G214)</f>
        <v>0</v>
      </c>
      <c r="L214" s="43" t="n">
        <f aca="false">IF($B$7="Oui",1-(IF(($B$4+G214)&lt;=$L$11,$M$11,IF(($B$4+G214)&gt;=$L$12,$M$12,INDEX($M$11:$M$12,MATCH(($B$4+G214),$L$11:$L$12,1))+(INDEX($M$11:$M$12,MATCH(($B$4+G214),$L$11:$L$12,1)+1)-INDEX($M$11:$M$12,MATCH(($B$4+G214),$L$11:$L$12,1)))*(($B$4+G214)-INDEX($L$11:$L$12,MATCH(($B$4+G214),$L$11:$L$12,1)))/(INDEX($L$11:$L$12,MATCH(($B$4+G214),$L$11:$L$12,1)+1)-INDEX($L$11:$L$12,MATCH(($B$4+G214),$L$11:$L$12,1)))))),1)</f>
        <v>1</v>
      </c>
    </row>
    <row r="215" customFormat="false" ht="15" hidden="false" customHeight="false" outlineLevel="0" collapsed="false">
      <c r="A215" s="32" t="n">
        <f aca="false">$B$32+0.125+155*0.25</f>
        <v>61.985</v>
      </c>
      <c r="B215" s="27" t="n">
        <f aca="false">IF(A215&lt;$B$31,1,0)</f>
        <v>1</v>
      </c>
      <c r="C215" s="43" t="n">
        <f aca="false">IF($B$7="Oui",1+((IF(($B$4+A215)&lt;=$I$11,$J$11,IF(($B$4+A215)&gt;=$I$33,$J$33,INDEX($J$11:$J$33,MATCH(($B$4+A215),$I$11:$I$33,1))+(INDEX($J$11:$J$33,MATCH(($B$4+A215),$I$11:$I$33,1)+1)-INDEX($J$11:$J$33,MATCH(($B$4+A215),$I$11:$I$33,1)))*(($B$4+A215)-INDEX($I$11:$I$33,MATCH(($B$4+A215),$I$11:$I$33,1)))/(INDEX($I$11:$I$33,MATCH(($B$4+A215),$I$11:$I$33,1)+1)-INDEX($I$11:$I$33,MATCH(($B$4+A215),$I$11:$I$33,1))))))-(IF(($B$4+A215)&lt;=$L$11,$M$11,IF(($B$4+A215)&gt;=$L$12,$M$12,INDEX($M$11:$M$12,MATCH(($B$4+A215),$L$11:$L$12,1))+(INDEX($M$11:$M$12,MATCH(($B$4+A215),$L$11:$L$12,1)+1)-INDEX($M$11:$M$12,MATCH(($B$4+A215),$L$11:$L$12,1)))*(($B$4+A215)-INDEX($L$11:$L$12,MATCH(($B$4+A215),$L$11:$L$12,1)))/(INDEX($L$11:$L$12,MATCH(($B$4+A215),$L$11:$L$12,1)+1)-INDEX($L$11:$L$12,MATCH(($B$4+A215),$L$11:$L$12,1)))))))/(1-(IF(($B$4+A215)&lt;=$I$11,$J$11,IF(($B$4+A215)&gt;=$I$33,$J$33,INDEX($J$11:$J$33,MATCH(($B$4+A215),$I$11:$I$33,1))+(INDEX($J$11:$J$33,MATCH(($B$4+A215),$I$11:$I$33,1)+1)-INDEX($J$11:$J$33,MATCH(($B$4+A215),$I$11:$I$33,1)))*(($B$4+A215)-INDEX($I$11:$I$33,MATCH(($B$4+A215),$I$11:$I$33,1)))/(INDEX($I$11:$I$33,MATCH(($B$4+A215),$I$11:$I$33,1)+1)-INDEX($I$11:$I$33,MATCH(($B$4+A215),$I$11:$I$33,1))))))),1)</f>
        <v>1</v>
      </c>
      <c r="D215" s="43" t="n">
        <f aca="false">B215*(1+$B$30)^(-A215)</f>
        <v>0.473908018769046</v>
      </c>
      <c r="E215" s="43" t="n">
        <f aca="false">B215*C215*(1+$B$5)^(-A215)</f>
        <v>1</v>
      </c>
      <c r="G215" s="32" t="n">
        <f aca="false">$B$31+0.125+155*0.25</f>
        <v>101.315</v>
      </c>
      <c r="H215" s="27" t="n">
        <f aca="false">IF(G215&lt;$B$33,1,0)</f>
        <v>0</v>
      </c>
      <c r="I215" s="43" t="n">
        <f aca="false">H215*(1-$B$6)^(G215-$B$31)*(1+$B$30)^(-G215)</f>
        <v>0</v>
      </c>
      <c r="J215" s="43" t="n">
        <f aca="false">H215*(1-$B$6)^(G215-$B$31)*L215*(1+$B$5)^(-G215)</f>
        <v>0</v>
      </c>
      <c r="L215" s="43" t="n">
        <f aca="false">IF($B$7="Oui",1-(IF(($B$4+G215)&lt;=$L$11,$M$11,IF(($B$4+G215)&gt;=$L$12,$M$12,INDEX($M$11:$M$12,MATCH(($B$4+G215),$L$11:$L$12,1))+(INDEX($M$11:$M$12,MATCH(($B$4+G215),$L$11:$L$12,1)+1)-INDEX($M$11:$M$12,MATCH(($B$4+G215),$L$11:$L$12,1)))*(($B$4+G215)-INDEX($L$11:$L$12,MATCH(($B$4+G215),$L$11:$L$12,1)))/(INDEX($L$11:$L$12,MATCH(($B$4+G215),$L$11:$L$12,1)+1)-INDEX($L$11:$L$12,MATCH(($B$4+G215),$L$11:$L$12,1)))))),1)</f>
        <v>1</v>
      </c>
    </row>
    <row r="216" customFormat="false" ht="15" hidden="false" customHeight="false" outlineLevel="0" collapsed="false">
      <c r="A216" s="32" t="n">
        <f aca="false">$B$32+0.125+156*0.25</f>
        <v>62.235</v>
      </c>
      <c r="B216" s="27" t="n">
        <f aca="false">IF(A216&lt;$B$31,1,0)</f>
        <v>1</v>
      </c>
      <c r="C216" s="43" t="n">
        <f aca="false">IF($B$7="Oui",1+((IF(($B$4+A216)&lt;=$I$11,$J$11,IF(($B$4+A216)&gt;=$I$33,$J$33,INDEX($J$11:$J$33,MATCH(($B$4+A216),$I$11:$I$33,1))+(INDEX($J$11:$J$33,MATCH(($B$4+A216),$I$11:$I$33,1)+1)-INDEX($J$11:$J$33,MATCH(($B$4+A216),$I$11:$I$33,1)))*(($B$4+A216)-INDEX($I$11:$I$33,MATCH(($B$4+A216),$I$11:$I$33,1)))/(INDEX($I$11:$I$33,MATCH(($B$4+A216),$I$11:$I$33,1)+1)-INDEX($I$11:$I$33,MATCH(($B$4+A216),$I$11:$I$33,1))))))-(IF(($B$4+A216)&lt;=$L$11,$M$11,IF(($B$4+A216)&gt;=$L$12,$M$12,INDEX($M$11:$M$12,MATCH(($B$4+A216),$L$11:$L$12,1))+(INDEX($M$11:$M$12,MATCH(($B$4+A216),$L$11:$L$12,1)+1)-INDEX($M$11:$M$12,MATCH(($B$4+A216),$L$11:$L$12,1)))*(($B$4+A216)-INDEX($L$11:$L$12,MATCH(($B$4+A216),$L$11:$L$12,1)))/(INDEX($L$11:$L$12,MATCH(($B$4+A216),$L$11:$L$12,1)+1)-INDEX($L$11:$L$12,MATCH(($B$4+A216),$L$11:$L$12,1)))))))/(1-(IF(($B$4+A216)&lt;=$I$11,$J$11,IF(($B$4+A216)&gt;=$I$33,$J$33,INDEX($J$11:$J$33,MATCH(($B$4+A216),$I$11:$I$33,1))+(INDEX($J$11:$J$33,MATCH(($B$4+A216),$I$11:$I$33,1)+1)-INDEX($J$11:$J$33,MATCH(($B$4+A216),$I$11:$I$33,1)))*(($B$4+A216)-INDEX($I$11:$I$33,MATCH(($B$4+A216),$I$11:$I$33,1)))/(INDEX($I$11:$I$33,MATCH(($B$4+A216),$I$11:$I$33,1)+1)-INDEX($I$11:$I$33,MATCH(($B$4+A216),$I$11:$I$33,1))))))),1)</f>
        <v>1</v>
      </c>
      <c r="D216" s="43" t="n">
        <f aca="false">B216*(1+$B$30)^(-A216)</f>
        <v>0.472482856816988</v>
      </c>
      <c r="E216" s="43" t="n">
        <f aca="false">B216*C216*(1+$B$5)^(-A216)</f>
        <v>1</v>
      </c>
      <c r="G216" s="32" t="n">
        <f aca="false">$B$31+0.125+156*0.25</f>
        <v>101.565</v>
      </c>
      <c r="H216" s="27" t="n">
        <f aca="false">IF(G216&lt;$B$33,1,0)</f>
        <v>0</v>
      </c>
      <c r="I216" s="43" t="n">
        <f aca="false">H216*(1-$B$6)^(G216-$B$31)*(1+$B$30)^(-G216)</f>
        <v>0</v>
      </c>
      <c r="J216" s="43" t="n">
        <f aca="false">H216*(1-$B$6)^(G216-$B$31)*L216*(1+$B$5)^(-G216)</f>
        <v>0</v>
      </c>
      <c r="L216" s="43" t="n">
        <f aca="false">IF($B$7="Oui",1-(IF(($B$4+G216)&lt;=$L$11,$M$11,IF(($B$4+G216)&gt;=$L$12,$M$12,INDEX($M$11:$M$12,MATCH(($B$4+G216),$L$11:$L$12,1))+(INDEX($M$11:$M$12,MATCH(($B$4+G216),$L$11:$L$12,1)+1)-INDEX($M$11:$M$12,MATCH(($B$4+G216),$L$11:$L$12,1)))*(($B$4+G216)-INDEX($L$11:$L$12,MATCH(($B$4+G216),$L$11:$L$12,1)))/(INDEX($L$11:$L$12,MATCH(($B$4+G216),$L$11:$L$12,1)+1)-INDEX($L$11:$L$12,MATCH(($B$4+G216),$L$11:$L$12,1)))))),1)</f>
        <v>1</v>
      </c>
    </row>
    <row r="217" customFormat="false" ht="15" hidden="false" customHeight="false" outlineLevel="0" collapsed="false">
      <c r="A217" s="32" t="n">
        <f aca="false">$B$32+0.125+157*0.25</f>
        <v>62.485</v>
      </c>
      <c r="B217" s="27" t="n">
        <f aca="false">IF(A217&lt;$B$31,1,0)</f>
        <v>0</v>
      </c>
      <c r="C217" s="43" t="n">
        <f aca="false">IF($B$7="Oui",1+((IF(($B$4+A217)&lt;=$I$11,$J$11,IF(($B$4+A217)&gt;=$I$33,$J$33,INDEX($J$11:$J$33,MATCH(($B$4+A217),$I$11:$I$33,1))+(INDEX($J$11:$J$33,MATCH(($B$4+A217),$I$11:$I$33,1)+1)-INDEX($J$11:$J$33,MATCH(($B$4+A217),$I$11:$I$33,1)))*(($B$4+A217)-INDEX($I$11:$I$33,MATCH(($B$4+A217),$I$11:$I$33,1)))/(INDEX($I$11:$I$33,MATCH(($B$4+A217),$I$11:$I$33,1)+1)-INDEX($I$11:$I$33,MATCH(($B$4+A217),$I$11:$I$33,1))))))-(IF(($B$4+A217)&lt;=$L$11,$M$11,IF(($B$4+A217)&gt;=$L$12,$M$12,INDEX($M$11:$M$12,MATCH(($B$4+A217),$L$11:$L$12,1))+(INDEX($M$11:$M$12,MATCH(($B$4+A217),$L$11:$L$12,1)+1)-INDEX($M$11:$M$12,MATCH(($B$4+A217),$L$11:$L$12,1)))*(($B$4+A217)-INDEX($L$11:$L$12,MATCH(($B$4+A217),$L$11:$L$12,1)))/(INDEX($L$11:$L$12,MATCH(($B$4+A217),$L$11:$L$12,1)+1)-INDEX($L$11:$L$12,MATCH(($B$4+A217),$L$11:$L$12,1)))))))/(1-(IF(($B$4+A217)&lt;=$I$11,$J$11,IF(($B$4+A217)&gt;=$I$33,$J$33,INDEX($J$11:$J$33,MATCH(($B$4+A217),$I$11:$I$33,1))+(INDEX($J$11:$J$33,MATCH(($B$4+A217),$I$11:$I$33,1)+1)-INDEX($J$11:$J$33,MATCH(($B$4+A217),$I$11:$I$33,1)))*(($B$4+A217)-INDEX($I$11:$I$33,MATCH(($B$4+A217),$I$11:$I$33,1)))/(INDEX($I$11:$I$33,MATCH(($B$4+A217),$I$11:$I$33,1)+1)-INDEX($I$11:$I$33,MATCH(($B$4+A217),$I$11:$I$33,1))))))),1)</f>
        <v>1</v>
      </c>
      <c r="D217" s="43" t="n">
        <f aca="false">B217*(1+$B$30)^(-A217)</f>
        <v>0</v>
      </c>
      <c r="E217" s="43" t="n">
        <f aca="false">B217*C217*(1+$B$5)^(-A217)</f>
        <v>0</v>
      </c>
      <c r="G217" s="32" t="n">
        <f aca="false">$B$31+0.125+157*0.25</f>
        <v>101.815</v>
      </c>
      <c r="H217" s="27" t="n">
        <f aca="false">IF(G217&lt;$B$33,1,0)</f>
        <v>0</v>
      </c>
      <c r="I217" s="43" t="n">
        <f aca="false">H217*(1-$B$6)^(G217-$B$31)*(1+$B$30)^(-G217)</f>
        <v>0</v>
      </c>
      <c r="J217" s="43" t="n">
        <f aca="false">H217*(1-$B$6)^(G217-$B$31)*L217*(1+$B$5)^(-G217)</f>
        <v>0</v>
      </c>
      <c r="L217" s="43" t="n">
        <f aca="false">IF($B$7="Oui",1-(IF(($B$4+G217)&lt;=$L$11,$M$11,IF(($B$4+G217)&gt;=$L$12,$M$12,INDEX($M$11:$M$12,MATCH(($B$4+G217),$L$11:$L$12,1))+(INDEX($M$11:$M$12,MATCH(($B$4+G217),$L$11:$L$12,1)+1)-INDEX($M$11:$M$12,MATCH(($B$4+G217),$L$11:$L$12,1)))*(($B$4+G217)-INDEX($L$11:$L$12,MATCH(($B$4+G217),$L$11:$L$12,1)))/(INDEX($L$11:$L$12,MATCH(($B$4+G217),$L$11:$L$12,1)+1)-INDEX($L$11:$L$12,MATCH(($B$4+G217),$L$11:$L$12,1)))))),1)</f>
        <v>1</v>
      </c>
    </row>
    <row r="218" customFormat="false" ht="15" hidden="false" customHeight="false" outlineLevel="0" collapsed="false">
      <c r="A218" s="32" t="n">
        <f aca="false">$B$32+0.125+158*0.25</f>
        <v>62.735</v>
      </c>
      <c r="B218" s="27" t="n">
        <f aca="false">IF(A218&lt;$B$31,1,0)</f>
        <v>0</v>
      </c>
      <c r="C218" s="43" t="n">
        <f aca="false">IF($B$7="Oui",1+((IF(($B$4+A218)&lt;=$I$11,$J$11,IF(($B$4+A218)&gt;=$I$33,$J$33,INDEX($J$11:$J$33,MATCH(($B$4+A218),$I$11:$I$33,1))+(INDEX($J$11:$J$33,MATCH(($B$4+A218),$I$11:$I$33,1)+1)-INDEX($J$11:$J$33,MATCH(($B$4+A218),$I$11:$I$33,1)))*(($B$4+A218)-INDEX($I$11:$I$33,MATCH(($B$4+A218),$I$11:$I$33,1)))/(INDEX($I$11:$I$33,MATCH(($B$4+A218),$I$11:$I$33,1)+1)-INDEX($I$11:$I$33,MATCH(($B$4+A218),$I$11:$I$33,1))))))-(IF(($B$4+A218)&lt;=$L$11,$M$11,IF(($B$4+A218)&gt;=$L$12,$M$12,INDEX($M$11:$M$12,MATCH(($B$4+A218),$L$11:$L$12,1))+(INDEX($M$11:$M$12,MATCH(($B$4+A218),$L$11:$L$12,1)+1)-INDEX($M$11:$M$12,MATCH(($B$4+A218),$L$11:$L$12,1)))*(($B$4+A218)-INDEX($L$11:$L$12,MATCH(($B$4+A218),$L$11:$L$12,1)))/(INDEX($L$11:$L$12,MATCH(($B$4+A218),$L$11:$L$12,1)+1)-INDEX($L$11:$L$12,MATCH(($B$4+A218),$L$11:$L$12,1)))))))/(1-(IF(($B$4+A218)&lt;=$I$11,$J$11,IF(($B$4+A218)&gt;=$I$33,$J$33,INDEX($J$11:$J$33,MATCH(($B$4+A218),$I$11:$I$33,1))+(INDEX($J$11:$J$33,MATCH(($B$4+A218),$I$11:$I$33,1)+1)-INDEX($J$11:$J$33,MATCH(($B$4+A218),$I$11:$I$33,1)))*(($B$4+A218)-INDEX($I$11:$I$33,MATCH(($B$4+A218),$I$11:$I$33,1)))/(INDEX($I$11:$I$33,MATCH(($B$4+A218),$I$11:$I$33,1)+1)-INDEX($I$11:$I$33,MATCH(($B$4+A218),$I$11:$I$33,1))))))),1)</f>
        <v>1</v>
      </c>
      <c r="D218" s="43" t="n">
        <f aca="false">B218*(1+$B$30)^(-A218)</f>
        <v>0</v>
      </c>
      <c r="E218" s="43" t="n">
        <f aca="false">B218*C218*(1+$B$5)^(-A218)</f>
        <v>0</v>
      </c>
      <c r="G218" s="32" t="n">
        <f aca="false">$B$31+0.125+158*0.25</f>
        <v>102.065</v>
      </c>
      <c r="H218" s="27" t="n">
        <f aca="false">IF(G218&lt;$B$33,1,0)</f>
        <v>0</v>
      </c>
      <c r="I218" s="43" t="n">
        <f aca="false">H218*(1-$B$6)^(G218-$B$31)*(1+$B$30)^(-G218)</f>
        <v>0</v>
      </c>
      <c r="J218" s="43" t="n">
        <f aca="false">H218*(1-$B$6)^(G218-$B$31)*L218*(1+$B$5)^(-G218)</f>
        <v>0</v>
      </c>
      <c r="L218" s="43" t="n">
        <f aca="false">IF($B$7="Oui",1-(IF(($B$4+G218)&lt;=$L$11,$M$11,IF(($B$4+G218)&gt;=$L$12,$M$12,INDEX($M$11:$M$12,MATCH(($B$4+G218),$L$11:$L$12,1))+(INDEX($M$11:$M$12,MATCH(($B$4+G218),$L$11:$L$12,1)+1)-INDEX($M$11:$M$12,MATCH(($B$4+G218),$L$11:$L$12,1)))*(($B$4+G218)-INDEX($L$11:$L$12,MATCH(($B$4+G218),$L$11:$L$12,1)))/(INDEX($L$11:$L$12,MATCH(($B$4+G218),$L$11:$L$12,1)+1)-INDEX($L$11:$L$12,MATCH(($B$4+G218),$L$11:$L$12,1)))))),1)</f>
        <v>1</v>
      </c>
    </row>
    <row r="219" customFormat="false" ht="15" hidden="false" customHeight="false" outlineLevel="0" collapsed="false">
      <c r="A219" s="32" t="n">
        <f aca="false">$B$32+0.125+159*0.25</f>
        <v>62.985</v>
      </c>
      <c r="B219" s="27" t="n">
        <f aca="false">IF(A219&lt;$B$31,1,0)</f>
        <v>0</v>
      </c>
      <c r="C219" s="43" t="n">
        <f aca="false">IF($B$7="Oui",1+((IF(($B$4+A219)&lt;=$I$11,$J$11,IF(($B$4+A219)&gt;=$I$33,$J$33,INDEX($J$11:$J$33,MATCH(($B$4+A219),$I$11:$I$33,1))+(INDEX($J$11:$J$33,MATCH(($B$4+A219),$I$11:$I$33,1)+1)-INDEX($J$11:$J$33,MATCH(($B$4+A219),$I$11:$I$33,1)))*(($B$4+A219)-INDEX($I$11:$I$33,MATCH(($B$4+A219),$I$11:$I$33,1)))/(INDEX($I$11:$I$33,MATCH(($B$4+A219),$I$11:$I$33,1)+1)-INDEX($I$11:$I$33,MATCH(($B$4+A219),$I$11:$I$33,1))))))-(IF(($B$4+A219)&lt;=$L$11,$M$11,IF(($B$4+A219)&gt;=$L$12,$M$12,INDEX($M$11:$M$12,MATCH(($B$4+A219),$L$11:$L$12,1))+(INDEX($M$11:$M$12,MATCH(($B$4+A219),$L$11:$L$12,1)+1)-INDEX($M$11:$M$12,MATCH(($B$4+A219),$L$11:$L$12,1)))*(($B$4+A219)-INDEX($L$11:$L$12,MATCH(($B$4+A219),$L$11:$L$12,1)))/(INDEX($L$11:$L$12,MATCH(($B$4+A219),$L$11:$L$12,1)+1)-INDEX($L$11:$L$12,MATCH(($B$4+A219),$L$11:$L$12,1)))))))/(1-(IF(($B$4+A219)&lt;=$I$11,$J$11,IF(($B$4+A219)&gt;=$I$33,$J$33,INDEX($J$11:$J$33,MATCH(($B$4+A219),$I$11:$I$33,1))+(INDEX($J$11:$J$33,MATCH(($B$4+A219),$I$11:$I$33,1)+1)-INDEX($J$11:$J$33,MATCH(($B$4+A219),$I$11:$I$33,1)))*(($B$4+A219)-INDEX($I$11:$I$33,MATCH(($B$4+A219),$I$11:$I$33,1)))/(INDEX($I$11:$I$33,MATCH(($B$4+A219),$I$11:$I$33,1)+1)-INDEX($I$11:$I$33,MATCH(($B$4+A219),$I$11:$I$33,1))))))),1)</f>
        <v>1</v>
      </c>
      <c r="D219" s="43" t="n">
        <f aca="false">B219*(1+$B$30)^(-A219)</f>
        <v>0</v>
      </c>
      <c r="E219" s="43" t="n">
        <f aca="false">B219*C219*(1+$B$5)^(-A219)</f>
        <v>0</v>
      </c>
      <c r="G219" s="32" t="n">
        <f aca="false">$B$31+0.125+159*0.25</f>
        <v>102.315</v>
      </c>
      <c r="H219" s="27" t="n">
        <f aca="false">IF(G219&lt;$B$33,1,0)</f>
        <v>0</v>
      </c>
      <c r="I219" s="43" t="n">
        <f aca="false">H219*(1-$B$6)^(G219-$B$31)*(1+$B$30)^(-G219)</f>
        <v>0</v>
      </c>
      <c r="J219" s="43" t="n">
        <f aca="false">H219*(1-$B$6)^(G219-$B$31)*L219*(1+$B$5)^(-G219)</f>
        <v>0</v>
      </c>
      <c r="L219" s="43" t="n">
        <f aca="false">IF($B$7="Oui",1-(IF(($B$4+G219)&lt;=$L$11,$M$11,IF(($B$4+G219)&gt;=$L$12,$M$12,INDEX($M$11:$M$12,MATCH(($B$4+G219),$L$11:$L$12,1))+(INDEX($M$11:$M$12,MATCH(($B$4+G219),$L$11:$L$12,1)+1)-INDEX($M$11:$M$12,MATCH(($B$4+G219),$L$11:$L$12,1)))*(($B$4+G219)-INDEX($L$11:$L$12,MATCH(($B$4+G219),$L$11:$L$12,1)))/(INDEX($L$11:$L$12,MATCH(($B$4+G219),$L$11:$L$12,1)+1)-INDEX($L$11:$L$12,MATCH(($B$4+G219),$L$11:$L$12,1)))))),1)</f>
        <v>1</v>
      </c>
    </row>
    <row r="220" customFormat="false" ht="15" hidden="false" customHeight="false" outlineLevel="0" collapsed="false">
      <c r="A220" s="32" t="n">
        <f aca="false">$B$32+0.125+160*0.25</f>
        <v>63.235</v>
      </c>
      <c r="B220" s="27" t="n">
        <f aca="false">IF(A220&lt;$B$31,1,0)</f>
        <v>0</v>
      </c>
      <c r="C220" s="43" t="n">
        <f aca="false">IF($B$7="Oui",1+((IF(($B$4+A220)&lt;=$I$11,$J$11,IF(($B$4+A220)&gt;=$I$33,$J$33,INDEX($J$11:$J$33,MATCH(($B$4+A220),$I$11:$I$33,1))+(INDEX($J$11:$J$33,MATCH(($B$4+A220),$I$11:$I$33,1)+1)-INDEX($J$11:$J$33,MATCH(($B$4+A220),$I$11:$I$33,1)))*(($B$4+A220)-INDEX($I$11:$I$33,MATCH(($B$4+A220),$I$11:$I$33,1)))/(INDEX($I$11:$I$33,MATCH(($B$4+A220),$I$11:$I$33,1)+1)-INDEX($I$11:$I$33,MATCH(($B$4+A220),$I$11:$I$33,1))))))-(IF(($B$4+A220)&lt;=$L$11,$M$11,IF(($B$4+A220)&gt;=$L$12,$M$12,INDEX($M$11:$M$12,MATCH(($B$4+A220),$L$11:$L$12,1))+(INDEX($M$11:$M$12,MATCH(($B$4+A220),$L$11:$L$12,1)+1)-INDEX($M$11:$M$12,MATCH(($B$4+A220),$L$11:$L$12,1)))*(($B$4+A220)-INDEX($L$11:$L$12,MATCH(($B$4+A220),$L$11:$L$12,1)))/(INDEX($L$11:$L$12,MATCH(($B$4+A220),$L$11:$L$12,1)+1)-INDEX($L$11:$L$12,MATCH(($B$4+A220),$L$11:$L$12,1)))))))/(1-(IF(($B$4+A220)&lt;=$I$11,$J$11,IF(($B$4+A220)&gt;=$I$33,$J$33,INDEX($J$11:$J$33,MATCH(($B$4+A220),$I$11:$I$33,1))+(INDEX($J$11:$J$33,MATCH(($B$4+A220),$I$11:$I$33,1)+1)-INDEX($J$11:$J$33,MATCH(($B$4+A220),$I$11:$I$33,1)))*(($B$4+A220)-INDEX($I$11:$I$33,MATCH(($B$4+A220),$I$11:$I$33,1)))/(INDEX($I$11:$I$33,MATCH(($B$4+A220),$I$11:$I$33,1)+1)-INDEX($I$11:$I$33,MATCH(($B$4+A220),$I$11:$I$33,1))))))),1)</f>
        <v>1</v>
      </c>
      <c r="D220" s="43" t="n">
        <f aca="false">B220*(1+$B$30)^(-A220)</f>
        <v>0</v>
      </c>
      <c r="E220" s="43" t="n">
        <f aca="false">B220*C220*(1+$B$5)^(-A220)</f>
        <v>0</v>
      </c>
      <c r="G220" s="32" t="n">
        <f aca="false">$B$31+0.125+160*0.25</f>
        <v>102.565</v>
      </c>
      <c r="H220" s="27" t="n">
        <f aca="false">IF(G220&lt;$B$33,1,0)</f>
        <v>0</v>
      </c>
      <c r="I220" s="43" t="n">
        <f aca="false">H220*(1-$B$6)^(G220-$B$31)*(1+$B$30)^(-G220)</f>
        <v>0</v>
      </c>
      <c r="J220" s="43" t="n">
        <f aca="false">H220*(1-$B$6)^(G220-$B$31)*L220*(1+$B$5)^(-G220)</f>
        <v>0</v>
      </c>
      <c r="L220" s="43" t="n">
        <f aca="false">IF($B$7="Oui",1-(IF(($B$4+G220)&lt;=$L$11,$M$11,IF(($B$4+G220)&gt;=$L$12,$M$12,INDEX($M$11:$M$12,MATCH(($B$4+G220),$L$11:$L$12,1))+(INDEX($M$11:$M$12,MATCH(($B$4+G220),$L$11:$L$12,1)+1)-INDEX($M$11:$M$12,MATCH(($B$4+G220),$L$11:$L$12,1)))*(($B$4+G220)-INDEX($L$11:$L$12,MATCH(($B$4+G220),$L$11:$L$12,1)))/(INDEX($L$11:$L$12,MATCH(($B$4+G220),$L$11:$L$12,1)+1)-INDEX($L$11:$L$12,MATCH(($B$4+G220),$L$11:$L$12,1)))))),1)</f>
        <v>1</v>
      </c>
    </row>
    <row r="221" customFormat="false" ht="15" hidden="false" customHeight="false" outlineLevel="0" collapsed="false">
      <c r="A221" s="32" t="n">
        <f aca="false">$B$32+0.125+161*0.25</f>
        <v>63.485</v>
      </c>
      <c r="B221" s="27" t="n">
        <f aca="false">IF(A221&lt;$B$31,1,0)</f>
        <v>0</v>
      </c>
      <c r="C221" s="43" t="n">
        <f aca="false">IF($B$7="Oui",1+((IF(($B$4+A221)&lt;=$I$11,$J$11,IF(($B$4+A221)&gt;=$I$33,$J$33,INDEX($J$11:$J$33,MATCH(($B$4+A221),$I$11:$I$33,1))+(INDEX($J$11:$J$33,MATCH(($B$4+A221),$I$11:$I$33,1)+1)-INDEX($J$11:$J$33,MATCH(($B$4+A221),$I$11:$I$33,1)))*(($B$4+A221)-INDEX($I$11:$I$33,MATCH(($B$4+A221),$I$11:$I$33,1)))/(INDEX($I$11:$I$33,MATCH(($B$4+A221),$I$11:$I$33,1)+1)-INDEX($I$11:$I$33,MATCH(($B$4+A221),$I$11:$I$33,1))))))-(IF(($B$4+A221)&lt;=$L$11,$M$11,IF(($B$4+A221)&gt;=$L$12,$M$12,INDEX($M$11:$M$12,MATCH(($B$4+A221),$L$11:$L$12,1))+(INDEX($M$11:$M$12,MATCH(($B$4+A221),$L$11:$L$12,1)+1)-INDEX($M$11:$M$12,MATCH(($B$4+A221),$L$11:$L$12,1)))*(($B$4+A221)-INDEX($L$11:$L$12,MATCH(($B$4+A221),$L$11:$L$12,1)))/(INDEX($L$11:$L$12,MATCH(($B$4+A221),$L$11:$L$12,1)+1)-INDEX($L$11:$L$12,MATCH(($B$4+A221),$L$11:$L$12,1)))))))/(1-(IF(($B$4+A221)&lt;=$I$11,$J$11,IF(($B$4+A221)&gt;=$I$33,$J$33,INDEX($J$11:$J$33,MATCH(($B$4+A221),$I$11:$I$33,1))+(INDEX($J$11:$J$33,MATCH(($B$4+A221),$I$11:$I$33,1)+1)-INDEX($J$11:$J$33,MATCH(($B$4+A221),$I$11:$I$33,1)))*(($B$4+A221)-INDEX($I$11:$I$33,MATCH(($B$4+A221),$I$11:$I$33,1)))/(INDEX($I$11:$I$33,MATCH(($B$4+A221),$I$11:$I$33,1)+1)-INDEX($I$11:$I$33,MATCH(($B$4+A221),$I$11:$I$33,1))))))),1)</f>
        <v>1</v>
      </c>
      <c r="D221" s="43" t="n">
        <f aca="false">B221*(1+$B$30)^(-A221)</f>
        <v>0</v>
      </c>
      <c r="E221" s="43" t="n">
        <f aca="false">B221*C221*(1+$B$5)^(-A221)</f>
        <v>0</v>
      </c>
      <c r="G221" s="32" t="n">
        <f aca="false">$B$31+0.125+161*0.25</f>
        <v>102.815</v>
      </c>
      <c r="H221" s="27" t="n">
        <f aca="false">IF(G221&lt;$B$33,1,0)</f>
        <v>0</v>
      </c>
      <c r="I221" s="43" t="n">
        <f aca="false">H221*(1-$B$6)^(G221-$B$31)*(1+$B$30)^(-G221)</f>
        <v>0</v>
      </c>
      <c r="J221" s="43" t="n">
        <f aca="false">H221*(1-$B$6)^(G221-$B$31)*L221*(1+$B$5)^(-G221)</f>
        <v>0</v>
      </c>
      <c r="L221" s="43" t="n">
        <f aca="false">IF($B$7="Oui",1-(IF(($B$4+G221)&lt;=$L$11,$M$11,IF(($B$4+G221)&gt;=$L$12,$M$12,INDEX($M$11:$M$12,MATCH(($B$4+G221),$L$11:$L$12,1))+(INDEX($M$11:$M$12,MATCH(($B$4+G221),$L$11:$L$12,1)+1)-INDEX($M$11:$M$12,MATCH(($B$4+G221),$L$11:$L$12,1)))*(($B$4+G221)-INDEX($L$11:$L$12,MATCH(($B$4+G221),$L$11:$L$12,1)))/(INDEX($L$11:$L$12,MATCH(($B$4+G221),$L$11:$L$12,1)+1)-INDEX($L$11:$L$12,MATCH(($B$4+G221),$L$11:$L$12,1)))))),1)</f>
        <v>1</v>
      </c>
    </row>
    <row r="222" customFormat="false" ht="15" hidden="false" customHeight="false" outlineLevel="0" collapsed="false">
      <c r="A222" s="32" t="n">
        <f aca="false">$B$32+0.125+162*0.25</f>
        <v>63.735</v>
      </c>
      <c r="B222" s="27" t="n">
        <f aca="false">IF(A222&lt;$B$31,1,0)</f>
        <v>0</v>
      </c>
      <c r="C222" s="43" t="n">
        <f aca="false">IF($B$7="Oui",1+((IF(($B$4+A222)&lt;=$I$11,$J$11,IF(($B$4+A222)&gt;=$I$33,$J$33,INDEX($J$11:$J$33,MATCH(($B$4+A222),$I$11:$I$33,1))+(INDEX($J$11:$J$33,MATCH(($B$4+A222),$I$11:$I$33,1)+1)-INDEX($J$11:$J$33,MATCH(($B$4+A222),$I$11:$I$33,1)))*(($B$4+A222)-INDEX($I$11:$I$33,MATCH(($B$4+A222),$I$11:$I$33,1)))/(INDEX($I$11:$I$33,MATCH(($B$4+A222),$I$11:$I$33,1)+1)-INDEX($I$11:$I$33,MATCH(($B$4+A222),$I$11:$I$33,1))))))-(IF(($B$4+A222)&lt;=$L$11,$M$11,IF(($B$4+A222)&gt;=$L$12,$M$12,INDEX($M$11:$M$12,MATCH(($B$4+A222),$L$11:$L$12,1))+(INDEX($M$11:$M$12,MATCH(($B$4+A222),$L$11:$L$12,1)+1)-INDEX($M$11:$M$12,MATCH(($B$4+A222),$L$11:$L$12,1)))*(($B$4+A222)-INDEX($L$11:$L$12,MATCH(($B$4+A222),$L$11:$L$12,1)))/(INDEX($L$11:$L$12,MATCH(($B$4+A222),$L$11:$L$12,1)+1)-INDEX($L$11:$L$12,MATCH(($B$4+A222),$L$11:$L$12,1)))))))/(1-(IF(($B$4+A222)&lt;=$I$11,$J$11,IF(($B$4+A222)&gt;=$I$33,$J$33,INDEX($J$11:$J$33,MATCH(($B$4+A222),$I$11:$I$33,1))+(INDEX($J$11:$J$33,MATCH(($B$4+A222),$I$11:$I$33,1)+1)-INDEX($J$11:$J$33,MATCH(($B$4+A222),$I$11:$I$33,1)))*(($B$4+A222)-INDEX($I$11:$I$33,MATCH(($B$4+A222),$I$11:$I$33,1)))/(INDEX($I$11:$I$33,MATCH(($B$4+A222),$I$11:$I$33,1)+1)-INDEX($I$11:$I$33,MATCH(($B$4+A222),$I$11:$I$33,1))))))),1)</f>
        <v>1</v>
      </c>
      <c r="D222" s="43" t="n">
        <f aca="false">B222*(1+$B$30)^(-A222)</f>
        <v>0</v>
      </c>
      <c r="E222" s="43" t="n">
        <f aca="false">B222*C222*(1+$B$5)^(-A222)</f>
        <v>0</v>
      </c>
      <c r="G222" s="32" t="n">
        <f aca="false">$B$31+0.125+162*0.25</f>
        <v>103.065</v>
      </c>
      <c r="H222" s="27" t="n">
        <f aca="false">IF(G222&lt;$B$33,1,0)</f>
        <v>0</v>
      </c>
      <c r="I222" s="43" t="n">
        <f aca="false">H222*(1-$B$6)^(G222-$B$31)*(1+$B$30)^(-G222)</f>
        <v>0</v>
      </c>
      <c r="J222" s="43" t="n">
        <f aca="false">H222*(1-$B$6)^(G222-$B$31)*L222*(1+$B$5)^(-G222)</f>
        <v>0</v>
      </c>
      <c r="L222" s="43" t="n">
        <f aca="false">IF($B$7="Oui",1-(IF(($B$4+G222)&lt;=$L$11,$M$11,IF(($B$4+G222)&gt;=$L$12,$M$12,INDEX($M$11:$M$12,MATCH(($B$4+G222),$L$11:$L$12,1))+(INDEX($M$11:$M$12,MATCH(($B$4+G222),$L$11:$L$12,1)+1)-INDEX($M$11:$M$12,MATCH(($B$4+G222),$L$11:$L$12,1)))*(($B$4+G222)-INDEX($L$11:$L$12,MATCH(($B$4+G222),$L$11:$L$12,1)))/(INDEX($L$11:$L$12,MATCH(($B$4+G222),$L$11:$L$12,1)+1)-INDEX($L$11:$L$12,MATCH(($B$4+G222),$L$11:$L$12,1)))))),1)</f>
        <v>1</v>
      </c>
    </row>
    <row r="223" customFormat="false" ht="15" hidden="false" customHeight="false" outlineLevel="0" collapsed="false">
      <c r="A223" s="32" t="n">
        <f aca="false">$B$32+0.125+163*0.25</f>
        <v>63.985</v>
      </c>
      <c r="B223" s="27" t="n">
        <f aca="false">IF(A223&lt;$B$31,1,0)</f>
        <v>0</v>
      </c>
      <c r="C223" s="43" t="n">
        <f aca="false">IF($B$7="Oui",1+((IF(($B$4+A223)&lt;=$I$11,$J$11,IF(($B$4+A223)&gt;=$I$33,$J$33,INDEX($J$11:$J$33,MATCH(($B$4+A223),$I$11:$I$33,1))+(INDEX($J$11:$J$33,MATCH(($B$4+A223),$I$11:$I$33,1)+1)-INDEX($J$11:$J$33,MATCH(($B$4+A223),$I$11:$I$33,1)))*(($B$4+A223)-INDEX($I$11:$I$33,MATCH(($B$4+A223),$I$11:$I$33,1)))/(INDEX($I$11:$I$33,MATCH(($B$4+A223),$I$11:$I$33,1)+1)-INDEX($I$11:$I$33,MATCH(($B$4+A223),$I$11:$I$33,1))))))-(IF(($B$4+A223)&lt;=$L$11,$M$11,IF(($B$4+A223)&gt;=$L$12,$M$12,INDEX($M$11:$M$12,MATCH(($B$4+A223),$L$11:$L$12,1))+(INDEX($M$11:$M$12,MATCH(($B$4+A223),$L$11:$L$12,1)+1)-INDEX($M$11:$M$12,MATCH(($B$4+A223),$L$11:$L$12,1)))*(($B$4+A223)-INDEX($L$11:$L$12,MATCH(($B$4+A223),$L$11:$L$12,1)))/(INDEX($L$11:$L$12,MATCH(($B$4+A223),$L$11:$L$12,1)+1)-INDEX($L$11:$L$12,MATCH(($B$4+A223),$L$11:$L$12,1)))))))/(1-(IF(($B$4+A223)&lt;=$I$11,$J$11,IF(($B$4+A223)&gt;=$I$33,$J$33,INDEX($J$11:$J$33,MATCH(($B$4+A223),$I$11:$I$33,1))+(INDEX($J$11:$J$33,MATCH(($B$4+A223),$I$11:$I$33,1)+1)-INDEX($J$11:$J$33,MATCH(($B$4+A223),$I$11:$I$33,1)))*(($B$4+A223)-INDEX($I$11:$I$33,MATCH(($B$4+A223),$I$11:$I$33,1)))/(INDEX($I$11:$I$33,MATCH(($B$4+A223),$I$11:$I$33,1)+1)-INDEX($I$11:$I$33,MATCH(($B$4+A223),$I$11:$I$33,1))))))),1)</f>
        <v>1</v>
      </c>
      <c r="D223" s="43" t="n">
        <f aca="false">B223*(1+$B$30)^(-A223)</f>
        <v>0</v>
      </c>
      <c r="E223" s="43" t="n">
        <f aca="false">B223*C223*(1+$B$5)^(-A223)</f>
        <v>0</v>
      </c>
      <c r="G223" s="32" t="n">
        <f aca="false">$B$31+0.125+163*0.25</f>
        <v>103.315</v>
      </c>
      <c r="H223" s="27" t="n">
        <f aca="false">IF(G223&lt;$B$33,1,0)</f>
        <v>0</v>
      </c>
      <c r="I223" s="43" t="n">
        <f aca="false">H223*(1-$B$6)^(G223-$B$31)*(1+$B$30)^(-G223)</f>
        <v>0</v>
      </c>
      <c r="J223" s="43" t="n">
        <f aca="false">H223*(1-$B$6)^(G223-$B$31)*L223*(1+$B$5)^(-G223)</f>
        <v>0</v>
      </c>
      <c r="L223" s="43" t="n">
        <f aca="false">IF($B$7="Oui",1-(IF(($B$4+G223)&lt;=$L$11,$M$11,IF(($B$4+G223)&gt;=$L$12,$M$12,INDEX($M$11:$M$12,MATCH(($B$4+G223),$L$11:$L$12,1))+(INDEX($M$11:$M$12,MATCH(($B$4+G223),$L$11:$L$12,1)+1)-INDEX($M$11:$M$12,MATCH(($B$4+G223),$L$11:$L$12,1)))*(($B$4+G223)-INDEX($L$11:$L$12,MATCH(($B$4+G223),$L$11:$L$12,1)))/(INDEX($L$11:$L$12,MATCH(($B$4+G223),$L$11:$L$12,1)+1)-INDEX($L$11:$L$12,MATCH(($B$4+G223),$L$11:$L$12,1)))))),1)</f>
        <v>1</v>
      </c>
    </row>
    <row r="224" customFormat="false" ht="15" hidden="false" customHeight="false" outlineLevel="0" collapsed="false">
      <c r="A224" s="32" t="n">
        <f aca="false">$B$32+0.125+164*0.25</f>
        <v>64.235</v>
      </c>
      <c r="B224" s="27" t="n">
        <f aca="false">IF(A224&lt;$B$31,1,0)</f>
        <v>0</v>
      </c>
      <c r="C224" s="43" t="n">
        <f aca="false">IF($B$7="Oui",1+((IF(($B$4+A224)&lt;=$I$11,$J$11,IF(($B$4+A224)&gt;=$I$33,$J$33,INDEX($J$11:$J$33,MATCH(($B$4+A224),$I$11:$I$33,1))+(INDEX($J$11:$J$33,MATCH(($B$4+A224),$I$11:$I$33,1)+1)-INDEX($J$11:$J$33,MATCH(($B$4+A224),$I$11:$I$33,1)))*(($B$4+A224)-INDEX($I$11:$I$33,MATCH(($B$4+A224),$I$11:$I$33,1)))/(INDEX($I$11:$I$33,MATCH(($B$4+A224),$I$11:$I$33,1)+1)-INDEX($I$11:$I$33,MATCH(($B$4+A224),$I$11:$I$33,1))))))-(IF(($B$4+A224)&lt;=$L$11,$M$11,IF(($B$4+A224)&gt;=$L$12,$M$12,INDEX($M$11:$M$12,MATCH(($B$4+A224),$L$11:$L$12,1))+(INDEX($M$11:$M$12,MATCH(($B$4+A224),$L$11:$L$12,1)+1)-INDEX($M$11:$M$12,MATCH(($B$4+A224),$L$11:$L$12,1)))*(($B$4+A224)-INDEX($L$11:$L$12,MATCH(($B$4+A224),$L$11:$L$12,1)))/(INDEX($L$11:$L$12,MATCH(($B$4+A224),$L$11:$L$12,1)+1)-INDEX($L$11:$L$12,MATCH(($B$4+A224),$L$11:$L$12,1)))))))/(1-(IF(($B$4+A224)&lt;=$I$11,$J$11,IF(($B$4+A224)&gt;=$I$33,$J$33,INDEX($J$11:$J$33,MATCH(($B$4+A224),$I$11:$I$33,1))+(INDEX($J$11:$J$33,MATCH(($B$4+A224),$I$11:$I$33,1)+1)-INDEX($J$11:$J$33,MATCH(($B$4+A224),$I$11:$I$33,1)))*(($B$4+A224)-INDEX($I$11:$I$33,MATCH(($B$4+A224),$I$11:$I$33,1)))/(INDEX($I$11:$I$33,MATCH(($B$4+A224),$I$11:$I$33,1)+1)-INDEX($I$11:$I$33,MATCH(($B$4+A224),$I$11:$I$33,1))))))),1)</f>
        <v>1</v>
      </c>
      <c r="D224" s="43" t="n">
        <f aca="false">B224*(1+$B$30)^(-A224)</f>
        <v>0</v>
      </c>
      <c r="E224" s="43" t="n">
        <f aca="false">B224*C224*(1+$B$5)^(-A224)</f>
        <v>0</v>
      </c>
      <c r="G224" s="32" t="n">
        <f aca="false">$B$31+0.125+164*0.25</f>
        <v>103.565</v>
      </c>
      <c r="H224" s="27" t="n">
        <f aca="false">IF(G224&lt;$B$33,1,0)</f>
        <v>0</v>
      </c>
      <c r="I224" s="43" t="n">
        <f aca="false">H224*(1-$B$6)^(G224-$B$31)*(1+$B$30)^(-G224)</f>
        <v>0</v>
      </c>
      <c r="J224" s="43" t="n">
        <f aca="false">H224*(1-$B$6)^(G224-$B$31)*L224*(1+$B$5)^(-G224)</f>
        <v>0</v>
      </c>
      <c r="L224" s="43" t="n">
        <f aca="false">IF($B$7="Oui",1-(IF(($B$4+G224)&lt;=$L$11,$M$11,IF(($B$4+G224)&gt;=$L$12,$M$12,INDEX($M$11:$M$12,MATCH(($B$4+G224),$L$11:$L$12,1))+(INDEX($M$11:$M$12,MATCH(($B$4+G224),$L$11:$L$12,1)+1)-INDEX($M$11:$M$12,MATCH(($B$4+G224),$L$11:$L$12,1)))*(($B$4+G224)-INDEX($L$11:$L$12,MATCH(($B$4+G224),$L$11:$L$12,1)))/(INDEX($L$11:$L$12,MATCH(($B$4+G224),$L$11:$L$12,1)+1)-INDEX($L$11:$L$12,MATCH(($B$4+G224),$L$11:$L$12,1)))))),1)</f>
        <v>1</v>
      </c>
    </row>
    <row r="225" customFormat="false" ht="15" hidden="false" customHeight="false" outlineLevel="0" collapsed="false">
      <c r="A225" s="32" t="n">
        <f aca="false">$B$32+0.125+165*0.25</f>
        <v>64.485</v>
      </c>
      <c r="B225" s="27" t="n">
        <f aca="false">IF(A225&lt;$B$31,1,0)</f>
        <v>0</v>
      </c>
      <c r="C225" s="43" t="n">
        <f aca="false">IF($B$7="Oui",1+((IF(($B$4+A225)&lt;=$I$11,$J$11,IF(($B$4+A225)&gt;=$I$33,$J$33,INDEX($J$11:$J$33,MATCH(($B$4+A225),$I$11:$I$33,1))+(INDEX($J$11:$J$33,MATCH(($B$4+A225),$I$11:$I$33,1)+1)-INDEX($J$11:$J$33,MATCH(($B$4+A225),$I$11:$I$33,1)))*(($B$4+A225)-INDEX($I$11:$I$33,MATCH(($B$4+A225),$I$11:$I$33,1)))/(INDEX($I$11:$I$33,MATCH(($B$4+A225),$I$11:$I$33,1)+1)-INDEX($I$11:$I$33,MATCH(($B$4+A225),$I$11:$I$33,1))))))-(IF(($B$4+A225)&lt;=$L$11,$M$11,IF(($B$4+A225)&gt;=$L$12,$M$12,INDEX($M$11:$M$12,MATCH(($B$4+A225),$L$11:$L$12,1))+(INDEX($M$11:$M$12,MATCH(($B$4+A225),$L$11:$L$12,1)+1)-INDEX($M$11:$M$12,MATCH(($B$4+A225),$L$11:$L$12,1)))*(($B$4+A225)-INDEX($L$11:$L$12,MATCH(($B$4+A225),$L$11:$L$12,1)))/(INDEX($L$11:$L$12,MATCH(($B$4+A225),$L$11:$L$12,1)+1)-INDEX($L$11:$L$12,MATCH(($B$4+A225),$L$11:$L$12,1)))))))/(1-(IF(($B$4+A225)&lt;=$I$11,$J$11,IF(($B$4+A225)&gt;=$I$33,$J$33,INDEX($J$11:$J$33,MATCH(($B$4+A225),$I$11:$I$33,1))+(INDEX($J$11:$J$33,MATCH(($B$4+A225),$I$11:$I$33,1)+1)-INDEX($J$11:$J$33,MATCH(($B$4+A225),$I$11:$I$33,1)))*(($B$4+A225)-INDEX($I$11:$I$33,MATCH(($B$4+A225),$I$11:$I$33,1)))/(INDEX($I$11:$I$33,MATCH(($B$4+A225),$I$11:$I$33,1)+1)-INDEX($I$11:$I$33,MATCH(($B$4+A225),$I$11:$I$33,1))))))),1)</f>
        <v>1</v>
      </c>
      <c r="D225" s="43" t="n">
        <f aca="false">B225*(1+$B$30)^(-A225)</f>
        <v>0</v>
      </c>
      <c r="E225" s="43" t="n">
        <f aca="false">B225*C225*(1+$B$5)^(-A225)</f>
        <v>0</v>
      </c>
      <c r="G225" s="32" t="n">
        <f aca="false">$B$31+0.125+165*0.25</f>
        <v>103.815</v>
      </c>
      <c r="H225" s="27" t="n">
        <f aca="false">IF(G225&lt;$B$33,1,0)</f>
        <v>0</v>
      </c>
      <c r="I225" s="43" t="n">
        <f aca="false">H225*(1-$B$6)^(G225-$B$31)*(1+$B$30)^(-G225)</f>
        <v>0</v>
      </c>
      <c r="J225" s="43" t="n">
        <f aca="false">H225*(1-$B$6)^(G225-$B$31)*L225*(1+$B$5)^(-G225)</f>
        <v>0</v>
      </c>
      <c r="L225" s="43" t="n">
        <f aca="false">IF($B$7="Oui",1-(IF(($B$4+G225)&lt;=$L$11,$M$11,IF(($B$4+G225)&gt;=$L$12,$M$12,INDEX($M$11:$M$12,MATCH(($B$4+G225),$L$11:$L$12,1))+(INDEX($M$11:$M$12,MATCH(($B$4+G225),$L$11:$L$12,1)+1)-INDEX($M$11:$M$12,MATCH(($B$4+G225),$L$11:$L$12,1)))*(($B$4+G225)-INDEX($L$11:$L$12,MATCH(($B$4+G225),$L$11:$L$12,1)))/(INDEX($L$11:$L$12,MATCH(($B$4+G225),$L$11:$L$12,1)+1)-INDEX($L$11:$L$12,MATCH(($B$4+G225),$L$11:$L$12,1)))))),1)</f>
        <v>1</v>
      </c>
    </row>
    <row r="226" customFormat="false" ht="15" hidden="false" customHeight="false" outlineLevel="0" collapsed="false">
      <c r="A226" s="32" t="n">
        <f aca="false">$B$32+0.125+166*0.25</f>
        <v>64.735</v>
      </c>
      <c r="B226" s="27" t="n">
        <f aca="false">IF(A226&lt;$B$31,1,0)</f>
        <v>0</v>
      </c>
      <c r="C226" s="43" t="n">
        <f aca="false">IF($B$7="Oui",1+((IF(($B$4+A226)&lt;=$I$11,$J$11,IF(($B$4+A226)&gt;=$I$33,$J$33,INDEX($J$11:$J$33,MATCH(($B$4+A226),$I$11:$I$33,1))+(INDEX($J$11:$J$33,MATCH(($B$4+A226),$I$11:$I$33,1)+1)-INDEX($J$11:$J$33,MATCH(($B$4+A226),$I$11:$I$33,1)))*(($B$4+A226)-INDEX($I$11:$I$33,MATCH(($B$4+A226),$I$11:$I$33,1)))/(INDEX($I$11:$I$33,MATCH(($B$4+A226),$I$11:$I$33,1)+1)-INDEX($I$11:$I$33,MATCH(($B$4+A226),$I$11:$I$33,1))))))-(IF(($B$4+A226)&lt;=$L$11,$M$11,IF(($B$4+A226)&gt;=$L$12,$M$12,INDEX($M$11:$M$12,MATCH(($B$4+A226),$L$11:$L$12,1))+(INDEX($M$11:$M$12,MATCH(($B$4+A226),$L$11:$L$12,1)+1)-INDEX($M$11:$M$12,MATCH(($B$4+A226),$L$11:$L$12,1)))*(($B$4+A226)-INDEX($L$11:$L$12,MATCH(($B$4+A226),$L$11:$L$12,1)))/(INDEX($L$11:$L$12,MATCH(($B$4+A226),$L$11:$L$12,1)+1)-INDEX($L$11:$L$12,MATCH(($B$4+A226),$L$11:$L$12,1)))))))/(1-(IF(($B$4+A226)&lt;=$I$11,$J$11,IF(($B$4+A226)&gt;=$I$33,$J$33,INDEX($J$11:$J$33,MATCH(($B$4+A226),$I$11:$I$33,1))+(INDEX($J$11:$J$33,MATCH(($B$4+A226),$I$11:$I$33,1)+1)-INDEX($J$11:$J$33,MATCH(($B$4+A226),$I$11:$I$33,1)))*(($B$4+A226)-INDEX($I$11:$I$33,MATCH(($B$4+A226),$I$11:$I$33,1)))/(INDEX($I$11:$I$33,MATCH(($B$4+A226),$I$11:$I$33,1)+1)-INDEX($I$11:$I$33,MATCH(($B$4+A226),$I$11:$I$33,1))))))),1)</f>
        <v>1</v>
      </c>
      <c r="D226" s="43" t="n">
        <f aca="false">B226*(1+$B$30)^(-A226)</f>
        <v>0</v>
      </c>
      <c r="E226" s="43" t="n">
        <f aca="false">B226*C226*(1+$B$5)^(-A226)</f>
        <v>0</v>
      </c>
      <c r="G226" s="32" t="n">
        <f aca="false">$B$31+0.125+166*0.25</f>
        <v>104.065</v>
      </c>
      <c r="H226" s="27" t="n">
        <f aca="false">IF(G226&lt;$B$33,1,0)</f>
        <v>0</v>
      </c>
      <c r="I226" s="43" t="n">
        <f aca="false">H226*(1-$B$6)^(G226-$B$31)*(1+$B$30)^(-G226)</f>
        <v>0</v>
      </c>
      <c r="J226" s="43" t="n">
        <f aca="false">H226*(1-$B$6)^(G226-$B$31)*L226*(1+$B$5)^(-G226)</f>
        <v>0</v>
      </c>
      <c r="L226" s="43" t="n">
        <f aca="false">IF($B$7="Oui",1-(IF(($B$4+G226)&lt;=$L$11,$M$11,IF(($B$4+G226)&gt;=$L$12,$M$12,INDEX($M$11:$M$12,MATCH(($B$4+G226),$L$11:$L$12,1))+(INDEX($M$11:$M$12,MATCH(($B$4+G226),$L$11:$L$12,1)+1)-INDEX($M$11:$M$12,MATCH(($B$4+G226),$L$11:$L$12,1)))*(($B$4+G226)-INDEX($L$11:$L$12,MATCH(($B$4+G226),$L$11:$L$12,1)))/(INDEX($L$11:$L$12,MATCH(($B$4+G226),$L$11:$L$12,1)+1)-INDEX($L$11:$L$12,MATCH(($B$4+G226),$L$11:$L$12,1)))))),1)</f>
        <v>1</v>
      </c>
    </row>
    <row r="227" customFormat="false" ht="15" hidden="false" customHeight="false" outlineLevel="0" collapsed="false">
      <c r="A227" s="32" t="n">
        <f aca="false">$B$32+0.125+167*0.25</f>
        <v>64.985</v>
      </c>
      <c r="B227" s="27" t="n">
        <f aca="false">IF(A227&lt;$B$31,1,0)</f>
        <v>0</v>
      </c>
      <c r="C227" s="43" t="n">
        <f aca="false">IF($B$7="Oui",1+((IF(($B$4+A227)&lt;=$I$11,$J$11,IF(($B$4+A227)&gt;=$I$33,$J$33,INDEX($J$11:$J$33,MATCH(($B$4+A227),$I$11:$I$33,1))+(INDEX($J$11:$J$33,MATCH(($B$4+A227),$I$11:$I$33,1)+1)-INDEX($J$11:$J$33,MATCH(($B$4+A227),$I$11:$I$33,1)))*(($B$4+A227)-INDEX($I$11:$I$33,MATCH(($B$4+A227),$I$11:$I$33,1)))/(INDEX($I$11:$I$33,MATCH(($B$4+A227),$I$11:$I$33,1)+1)-INDEX($I$11:$I$33,MATCH(($B$4+A227),$I$11:$I$33,1))))))-(IF(($B$4+A227)&lt;=$L$11,$M$11,IF(($B$4+A227)&gt;=$L$12,$M$12,INDEX($M$11:$M$12,MATCH(($B$4+A227),$L$11:$L$12,1))+(INDEX($M$11:$M$12,MATCH(($B$4+A227),$L$11:$L$12,1)+1)-INDEX($M$11:$M$12,MATCH(($B$4+A227),$L$11:$L$12,1)))*(($B$4+A227)-INDEX($L$11:$L$12,MATCH(($B$4+A227),$L$11:$L$12,1)))/(INDEX($L$11:$L$12,MATCH(($B$4+A227),$L$11:$L$12,1)+1)-INDEX($L$11:$L$12,MATCH(($B$4+A227),$L$11:$L$12,1)))))))/(1-(IF(($B$4+A227)&lt;=$I$11,$J$11,IF(($B$4+A227)&gt;=$I$33,$J$33,INDEX($J$11:$J$33,MATCH(($B$4+A227),$I$11:$I$33,1))+(INDEX($J$11:$J$33,MATCH(($B$4+A227),$I$11:$I$33,1)+1)-INDEX($J$11:$J$33,MATCH(($B$4+A227),$I$11:$I$33,1)))*(($B$4+A227)-INDEX($I$11:$I$33,MATCH(($B$4+A227),$I$11:$I$33,1)))/(INDEX($I$11:$I$33,MATCH(($B$4+A227),$I$11:$I$33,1)+1)-INDEX($I$11:$I$33,MATCH(($B$4+A227),$I$11:$I$33,1))))))),1)</f>
        <v>1</v>
      </c>
      <c r="D227" s="43" t="n">
        <f aca="false">B227*(1+$B$30)^(-A227)</f>
        <v>0</v>
      </c>
      <c r="E227" s="43" t="n">
        <f aca="false">B227*C227*(1+$B$5)^(-A227)</f>
        <v>0</v>
      </c>
      <c r="G227" s="32" t="n">
        <f aca="false">$B$31+0.125+167*0.25</f>
        <v>104.315</v>
      </c>
      <c r="H227" s="27" t="n">
        <f aca="false">IF(G227&lt;$B$33,1,0)</f>
        <v>0</v>
      </c>
      <c r="I227" s="43" t="n">
        <f aca="false">H227*(1-$B$6)^(G227-$B$31)*(1+$B$30)^(-G227)</f>
        <v>0</v>
      </c>
      <c r="J227" s="43" t="n">
        <f aca="false">H227*(1-$B$6)^(G227-$B$31)*L227*(1+$B$5)^(-G227)</f>
        <v>0</v>
      </c>
      <c r="L227" s="43" t="n">
        <f aca="false">IF($B$7="Oui",1-(IF(($B$4+G227)&lt;=$L$11,$M$11,IF(($B$4+G227)&gt;=$L$12,$M$12,INDEX($M$11:$M$12,MATCH(($B$4+G227),$L$11:$L$12,1))+(INDEX($M$11:$M$12,MATCH(($B$4+G227),$L$11:$L$12,1)+1)-INDEX($M$11:$M$12,MATCH(($B$4+G227),$L$11:$L$12,1)))*(($B$4+G227)-INDEX($L$11:$L$12,MATCH(($B$4+G227),$L$11:$L$12,1)))/(INDEX($L$11:$L$12,MATCH(($B$4+G227),$L$11:$L$12,1)+1)-INDEX($L$11:$L$12,MATCH(($B$4+G227),$L$11:$L$12,1)))))),1)</f>
        <v>1</v>
      </c>
    </row>
    <row r="228" customFormat="false" ht="15" hidden="false" customHeight="false" outlineLevel="0" collapsed="false">
      <c r="A228" s="32" t="n">
        <f aca="false">$B$32+0.125+168*0.25</f>
        <v>65.235</v>
      </c>
      <c r="B228" s="27" t="n">
        <f aca="false">IF(A228&lt;$B$31,1,0)</f>
        <v>0</v>
      </c>
      <c r="C228" s="43" t="n">
        <f aca="false">IF($B$7="Oui",1+((IF(($B$4+A228)&lt;=$I$11,$J$11,IF(($B$4+A228)&gt;=$I$33,$J$33,INDEX($J$11:$J$33,MATCH(($B$4+A228),$I$11:$I$33,1))+(INDEX($J$11:$J$33,MATCH(($B$4+A228),$I$11:$I$33,1)+1)-INDEX($J$11:$J$33,MATCH(($B$4+A228),$I$11:$I$33,1)))*(($B$4+A228)-INDEX($I$11:$I$33,MATCH(($B$4+A228),$I$11:$I$33,1)))/(INDEX($I$11:$I$33,MATCH(($B$4+A228),$I$11:$I$33,1)+1)-INDEX($I$11:$I$33,MATCH(($B$4+A228),$I$11:$I$33,1))))))-(IF(($B$4+A228)&lt;=$L$11,$M$11,IF(($B$4+A228)&gt;=$L$12,$M$12,INDEX($M$11:$M$12,MATCH(($B$4+A228),$L$11:$L$12,1))+(INDEX($M$11:$M$12,MATCH(($B$4+A228),$L$11:$L$12,1)+1)-INDEX($M$11:$M$12,MATCH(($B$4+A228),$L$11:$L$12,1)))*(($B$4+A228)-INDEX($L$11:$L$12,MATCH(($B$4+A228),$L$11:$L$12,1)))/(INDEX($L$11:$L$12,MATCH(($B$4+A228),$L$11:$L$12,1)+1)-INDEX($L$11:$L$12,MATCH(($B$4+A228),$L$11:$L$12,1)))))))/(1-(IF(($B$4+A228)&lt;=$I$11,$J$11,IF(($B$4+A228)&gt;=$I$33,$J$33,INDEX($J$11:$J$33,MATCH(($B$4+A228),$I$11:$I$33,1))+(INDEX($J$11:$J$33,MATCH(($B$4+A228),$I$11:$I$33,1)+1)-INDEX($J$11:$J$33,MATCH(($B$4+A228),$I$11:$I$33,1)))*(($B$4+A228)-INDEX($I$11:$I$33,MATCH(($B$4+A228),$I$11:$I$33,1)))/(INDEX($I$11:$I$33,MATCH(($B$4+A228),$I$11:$I$33,1)+1)-INDEX($I$11:$I$33,MATCH(($B$4+A228),$I$11:$I$33,1))))))),1)</f>
        <v>1</v>
      </c>
      <c r="D228" s="43" t="n">
        <f aca="false">B228*(1+$B$30)^(-A228)</f>
        <v>0</v>
      </c>
      <c r="E228" s="43" t="n">
        <f aca="false">B228*C228*(1+$B$5)^(-A228)</f>
        <v>0</v>
      </c>
      <c r="G228" s="32" t="n">
        <f aca="false">$B$31+0.125+168*0.25</f>
        <v>104.565</v>
      </c>
      <c r="H228" s="27" t="n">
        <f aca="false">IF(G228&lt;$B$33,1,0)</f>
        <v>0</v>
      </c>
      <c r="I228" s="43" t="n">
        <f aca="false">H228*(1-$B$6)^(G228-$B$31)*(1+$B$30)^(-G228)</f>
        <v>0</v>
      </c>
      <c r="J228" s="43" t="n">
        <f aca="false">H228*(1-$B$6)^(G228-$B$31)*L228*(1+$B$5)^(-G228)</f>
        <v>0</v>
      </c>
      <c r="L228" s="43" t="n">
        <f aca="false">IF($B$7="Oui",1-(IF(($B$4+G228)&lt;=$L$11,$M$11,IF(($B$4+G228)&gt;=$L$12,$M$12,INDEX($M$11:$M$12,MATCH(($B$4+G228),$L$11:$L$12,1))+(INDEX($M$11:$M$12,MATCH(($B$4+G228),$L$11:$L$12,1)+1)-INDEX($M$11:$M$12,MATCH(($B$4+G228),$L$11:$L$12,1)))*(($B$4+G228)-INDEX($L$11:$L$12,MATCH(($B$4+G228),$L$11:$L$12,1)))/(INDEX($L$11:$L$12,MATCH(($B$4+G228),$L$11:$L$12,1)+1)-INDEX($L$11:$L$12,MATCH(($B$4+G228),$L$11:$L$12,1)))))),1)</f>
        <v>1</v>
      </c>
    </row>
    <row r="229" customFormat="false" ht="15" hidden="false" customHeight="false" outlineLevel="0" collapsed="false">
      <c r="A229" s="32" t="n">
        <f aca="false">$B$32+0.125+169*0.25</f>
        <v>65.485</v>
      </c>
      <c r="B229" s="27" t="n">
        <f aca="false">IF(A229&lt;$B$31,1,0)</f>
        <v>0</v>
      </c>
      <c r="C229" s="43" t="n">
        <f aca="false">IF($B$7="Oui",1+((IF(($B$4+A229)&lt;=$I$11,$J$11,IF(($B$4+A229)&gt;=$I$33,$J$33,INDEX($J$11:$J$33,MATCH(($B$4+A229),$I$11:$I$33,1))+(INDEX($J$11:$J$33,MATCH(($B$4+A229),$I$11:$I$33,1)+1)-INDEX($J$11:$J$33,MATCH(($B$4+A229),$I$11:$I$33,1)))*(($B$4+A229)-INDEX($I$11:$I$33,MATCH(($B$4+A229),$I$11:$I$33,1)))/(INDEX($I$11:$I$33,MATCH(($B$4+A229),$I$11:$I$33,1)+1)-INDEX($I$11:$I$33,MATCH(($B$4+A229),$I$11:$I$33,1))))))-(IF(($B$4+A229)&lt;=$L$11,$M$11,IF(($B$4+A229)&gt;=$L$12,$M$12,INDEX($M$11:$M$12,MATCH(($B$4+A229),$L$11:$L$12,1))+(INDEX($M$11:$M$12,MATCH(($B$4+A229),$L$11:$L$12,1)+1)-INDEX($M$11:$M$12,MATCH(($B$4+A229),$L$11:$L$12,1)))*(($B$4+A229)-INDEX($L$11:$L$12,MATCH(($B$4+A229),$L$11:$L$12,1)))/(INDEX($L$11:$L$12,MATCH(($B$4+A229),$L$11:$L$12,1)+1)-INDEX($L$11:$L$12,MATCH(($B$4+A229),$L$11:$L$12,1)))))))/(1-(IF(($B$4+A229)&lt;=$I$11,$J$11,IF(($B$4+A229)&gt;=$I$33,$J$33,INDEX($J$11:$J$33,MATCH(($B$4+A229),$I$11:$I$33,1))+(INDEX($J$11:$J$33,MATCH(($B$4+A229),$I$11:$I$33,1)+1)-INDEX($J$11:$J$33,MATCH(($B$4+A229),$I$11:$I$33,1)))*(($B$4+A229)-INDEX($I$11:$I$33,MATCH(($B$4+A229),$I$11:$I$33,1)))/(INDEX($I$11:$I$33,MATCH(($B$4+A229),$I$11:$I$33,1)+1)-INDEX($I$11:$I$33,MATCH(($B$4+A229),$I$11:$I$33,1))))))),1)</f>
        <v>1</v>
      </c>
      <c r="D229" s="43" t="n">
        <f aca="false">B229*(1+$B$30)^(-A229)</f>
        <v>0</v>
      </c>
      <c r="E229" s="43" t="n">
        <f aca="false">B229*C229*(1+$B$5)^(-A229)</f>
        <v>0</v>
      </c>
      <c r="G229" s="32" t="n">
        <f aca="false">$B$31+0.125+169*0.25</f>
        <v>104.815</v>
      </c>
      <c r="H229" s="27" t="n">
        <f aca="false">IF(G229&lt;$B$33,1,0)</f>
        <v>0</v>
      </c>
      <c r="I229" s="43" t="n">
        <f aca="false">H229*(1-$B$6)^(G229-$B$31)*(1+$B$30)^(-G229)</f>
        <v>0</v>
      </c>
      <c r="J229" s="43" t="n">
        <f aca="false">H229*(1-$B$6)^(G229-$B$31)*L229*(1+$B$5)^(-G229)</f>
        <v>0</v>
      </c>
      <c r="L229" s="43" t="n">
        <f aca="false">IF($B$7="Oui",1-(IF(($B$4+G229)&lt;=$L$11,$M$11,IF(($B$4+G229)&gt;=$L$12,$M$12,INDEX($M$11:$M$12,MATCH(($B$4+G229),$L$11:$L$12,1))+(INDEX($M$11:$M$12,MATCH(($B$4+G229),$L$11:$L$12,1)+1)-INDEX($M$11:$M$12,MATCH(($B$4+G229),$L$11:$L$12,1)))*(($B$4+G229)-INDEX($L$11:$L$12,MATCH(($B$4+G229),$L$11:$L$12,1)))/(INDEX($L$11:$L$12,MATCH(($B$4+G229),$L$11:$L$12,1)+1)-INDEX($L$11:$L$12,MATCH(($B$4+G229),$L$11:$L$12,1)))))),1)</f>
        <v>1</v>
      </c>
    </row>
    <row r="230" customFormat="false" ht="15" hidden="false" customHeight="false" outlineLevel="0" collapsed="false">
      <c r="A230" s="32" t="n">
        <f aca="false">$B$32+0.125+170*0.25</f>
        <v>65.735</v>
      </c>
      <c r="B230" s="27" t="n">
        <f aca="false">IF(A230&lt;$B$31,1,0)</f>
        <v>0</v>
      </c>
      <c r="C230" s="43" t="n">
        <f aca="false">IF($B$7="Oui",1+((IF(($B$4+A230)&lt;=$I$11,$J$11,IF(($B$4+A230)&gt;=$I$33,$J$33,INDEX($J$11:$J$33,MATCH(($B$4+A230),$I$11:$I$33,1))+(INDEX($J$11:$J$33,MATCH(($B$4+A230),$I$11:$I$33,1)+1)-INDEX($J$11:$J$33,MATCH(($B$4+A230),$I$11:$I$33,1)))*(($B$4+A230)-INDEX($I$11:$I$33,MATCH(($B$4+A230),$I$11:$I$33,1)))/(INDEX($I$11:$I$33,MATCH(($B$4+A230),$I$11:$I$33,1)+1)-INDEX($I$11:$I$33,MATCH(($B$4+A230),$I$11:$I$33,1))))))-(IF(($B$4+A230)&lt;=$L$11,$M$11,IF(($B$4+A230)&gt;=$L$12,$M$12,INDEX($M$11:$M$12,MATCH(($B$4+A230),$L$11:$L$12,1))+(INDEX($M$11:$M$12,MATCH(($B$4+A230),$L$11:$L$12,1)+1)-INDEX($M$11:$M$12,MATCH(($B$4+A230),$L$11:$L$12,1)))*(($B$4+A230)-INDEX($L$11:$L$12,MATCH(($B$4+A230),$L$11:$L$12,1)))/(INDEX($L$11:$L$12,MATCH(($B$4+A230),$L$11:$L$12,1)+1)-INDEX($L$11:$L$12,MATCH(($B$4+A230),$L$11:$L$12,1)))))))/(1-(IF(($B$4+A230)&lt;=$I$11,$J$11,IF(($B$4+A230)&gt;=$I$33,$J$33,INDEX($J$11:$J$33,MATCH(($B$4+A230),$I$11:$I$33,1))+(INDEX($J$11:$J$33,MATCH(($B$4+A230),$I$11:$I$33,1)+1)-INDEX($J$11:$J$33,MATCH(($B$4+A230),$I$11:$I$33,1)))*(($B$4+A230)-INDEX($I$11:$I$33,MATCH(($B$4+A230),$I$11:$I$33,1)))/(INDEX($I$11:$I$33,MATCH(($B$4+A230),$I$11:$I$33,1)+1)-INDEX($I$11:$I$33,MATCH(($B$4+A230),$I$11:$I$33,1))))))),1)</f>
        <v>1</v>
      </c>
      <c r="D230" s="43" t="n">
        <f aca="false">B230*(1+$B$30)^(-A230)</f>
        <v>0</v>
      </c>
      <c r="E230" s="43" t="n">
        <f aca="false">B230*C230*(1+$B$5)^(-A230)</f>
        <v>0</v>
      </c>
      <c r="G230" s="32" t="n">
        <f aca="false">$B$31+0.125+170*0.25</f>
        <v>105.065</v>
      </c>
      <c r="H230" s="27" t="n">
        <f aca="false">IF(G230&lt;$B$33,1,0)</f>
        <v>0</v>
      </c>
      <c r="I230" s="43" t="n">
        <f aca="false">H230*(1-$B$6)^(G230-$B$31)*(1+$B$30)^(-G230)</f>
        <v>0</v>
      </c>
      <c r="J230" s="43" t="n">
        <f aca="false">H230*(1-$B$6)^(G230-$B$31)*L230*(1+$B$5)^(-G230)</f>
        <v>0</v>
      </c>
      <c r="L230" s="43" t="n">
        <f aca="false">IF($B$7="Oui",1-(IF(($B$4+G230)&lt;=$L$11,$M$11,IF(($B$4+G230)&gt;=$L$12,$M$12,INDEX($M$11:$M$12,MATCH(($B$4+G230),$L$11:$L$12,1))+(INDEX($M$11:$M$12,MATCH(($B$4+G230),$L$11:$L$12,1)+1)-INDEX($M$11:$M$12,MATCH(($B$4+G230),$L$11:$L$12,1)))*(($B$4+G230)-INDEX($L$11:$L$12,MATCH(($B$4+G230),$L$11:$L$12,1)))/(INDEX($L$11:$L$12,MATCH(($B$4+G230),$L$11:$L$12,1)+1)-INDEX($L$11:$L$12,MATCH(($B$4+G230),$L$11:$L$12,1)))))),1)</f>
        <v>1</v>
      </c>
    </row>
    <row r="231" customFormat="false" ht="15" hidden="false" customHeight="false" outlineLevel="0" collapsed="false">
      <c r="A231" s="32" t="n">
        <f aca="false">$B$32+0.125+171*0.25</f>
        <v>65.985</v>
      </c>
      <c r="B231" s="27" t="n">
        <f aca="false">IF(A231&lt;$B$31,1,0)</f>
        <v>0</v>
      </c>
      <c r="C231" s="43" t="n">
        <f aca="false">IF($B$7="Oui",1+((IF(($B$4+A231)&lt;=$I$11,$J$11,IF(($B$4+A231)&gt;=$I$33,$J$33,INDEX($J$11:$J$33,MATCH(($B$4+A231),$I$11:$I$33,1))+(INDEX($J$11:$J$33,MATCH(($B$4+A231),$I$11:$I$33,1)+1)-INDEX($J$11:$J$33,MATCH(($B$4+A231),$I$11:$I$33,1)))*(($B$4+A231)-INDEX($I$11:$I$33,MATCH(($B$4+A231),$I$11:$I$33,1)))/(INDEX($I$11:$I$33,MATCH(($B$4+A231),$I$11:$I$33,1)+1)-INDEX($I$11:$I$33,MATCH(($B$4+A231),$I$11:$I$33,1))))))-(IF(($B$4+A231)&lt;=$L$11,$M$11,IF(($B$4+A231)&gt;=$L$12,$M$12,INDEX($M$11:$M$12,MATCH(($B$4+A231),$L$11:$L$12,1))+(INDEX($M$11:$M$12,MATCH(($B$4+A231),$L$11:$L$12,1)+1)-INDEX($M$11:$M$12,MATCH(($B$4+A231),$L$11:$L$12,1)))*(($B$4+A231)-INDEX($L$11:$L$12,MATCH(($B$4+A231),$L$11:$L$12,1)))/(INDEX($L$11:$L$12,MATCH(($B$4+A231),$L$11:$L$12,1)+1)-INDEX($L$11:$L$12,MATCH(($B$4+A231),$L$11:$L$12,1)))))))/(1-(IF(($B$4+A231)&lt;=$I$11,$J$11,IF(($B$4+A231)&gt;=$I$33,$J$33,INDEX($J$11:$J$33,MATCH(($B$4+A231),$I$11:$I$33,1))+(INDEX($J$11:$J$33,MATCH(($B$4+A231),$I$11:$I$33,1)+1)-INDEX($J$11:$J$33,MATCH(($B$4+A231),$I$11:$I$33,1)))*(($B$4+A231)-INDEX($I$11:$I$33,MATCH(($B$4+A231),$I$11:$I$33,1)))/(INDEX($I$11:$I$33,MATCH(($B$4+A231),$I$11:$I$33,1)+1)-INDEX($I$11:$I$33,MATCH(($B$4+A231),$I$11:$I$33,1))))))),1)</f>
        <v>1</v>
      </c>
      <c r="D231" s="43" t="n">
        <f aca="false">B231*(1+$B$30)^(-A231)</f>
        <v>0</v>
      </c>
      <c r="E231" s="43" t="n">
        <f aca="false">B231*C231*(1+$B$5)^(-A231)</f>
        <v>0</v>
      </c>
      <c r="G231" s="32" t="n">
        <f aca="false">$B$31+0.125+171*0.25</f>
        <v>105.315</v>
      </c>
      <c r="H231" s="27" t="n">
        <f aca="false">IF(G231&lt;$B$33,1,0)</f>
        <v>0</v>
      </c>
      <c r="I231" s="43" t="n">
        <f aca="false">H231*(1-$B$6)^(G231-$B$31)*(1+$B$30)^(-G231)</f>
        <v>0</v>
      </c>
      <c r="J231" s="43" t="n">
        <f aca="false">H231*(1-$B$6)^(G231-$B$31)*L231*(1+$B$5)^(-G231)</f>
        <v>0</v>
      </c>
      <c r="L231" s="43" t="n">
        <f aca="false">IF($B$7="Oui",1-(IF(($B$4+G231)&lt;=$L$11,$M$11,IF(($B$4+G231)&gt;=$L$12,$M$12,INDEX($M$11:$M$12,MATCH(($B$4+G231),$L$11:$L$12,1))+(INDEX($M$11:$M$12,MATCH(($B$4+G231),$L$11:$L$12,1)+1)-INDEX($M$11:$M$12,MATCH(($B$4+G231),$L$11:$L$12,1)))*(($B$4+G231)-INDEX($L$11:$L$12,MATCH(($B$4+G231),$L$11:$L$12,1)))/(INDEX($L$11:$L$12,MATCH(($B$4+G231),$L$11:$L$12,1)+1)-INDEX($L$11:$L$12,MATCH(($B$4+G231),$L$11:$L$12,1)))))),1)</f>
        <v>1</v>
      </c>
    </row>
    <row r="232" customFormat="false" ht="15" hidden="false" customHeight="false" outlineLevel="0" collapsed="false">
      <c r="A232" s="32" t="n">
        <f aca="false">$B$32+0.125+172*0.25</f>
        <v>66.235</v>
      </c>
      <c r="B232" s="27" t="n">
        <f aca="false">IF(A232&lt;$B$31,1,0)</f>
        <v>0</v>
      </c>
      <c r="C232" s="43" t="n">
        <f aca="false">IF($B$7="Oui",1+((IF(($B$4+A232)&lt;=$I$11,$J$11,IF(($B$4+A232)&gt;=$I$33,$J$33,INDEX($J$11:$J$33,MATCH(($B$4+A232),$I$11:$I$33,1))+(INDEX($J$11:$J$33,MATCH(($B$4+A232),$I$11:$I$33,1)+1)-INDEX($J$11:$J$33,MATCH(($B$4+A232),$I$11:$I$33,1)))*(($B$4+A232)-INDEX($I$11:$I$33,MATCH(($B$4+A232),$I$11:$I$33,1)))/(INDEX($I$11:$I$33,MATCH(($B$4+A232),$I$11:$I$33,1)+1)-INDEX($I$11:$I$33,MATCH(($B$4+A232),$I$11:$I$33,1))))))-(IF(($B$4+A232)&lt;=$L$11,$M$11,IF(($B$4+A232)&gt;=$L$12,$M$12,INDEX($M$11:$M$12,MATCH(($B$4+A232),$L$11:$L$12,1))+(INDEX($M$11:$M$12,MATCH(($B$4+A232),$L$11:$L$12,1)+1)-INDEX($M$11:$M$12,MATCH(($B$4+A232),$L$11:$L$12,1)))*(($B$4+A232)-INDEX($L$11:$L$12,MATCH(($B$4+A232),$L$11:$L$12,1)))/(INDEX($L$11:$L$12,MATCH(($B$4+A232),$L$11:$L$12,1)+1)-INDEX($L$11:$L$12,MATCH(($B$4+A232),$L$11:$L$12,1)))))))/(1-(IF(($B$4+A232)&lt;=$I$11,$J$11,IF(($B$4+A232)&gt;=$I$33,$J$33,INDEX($J$11:$J$33,MATCH(($B$4+A232),$I$11:$I$33,1))+(INDEX($J$11:$J$33,MATCH(($B$4+A232),$I$11:$I$33,1)+1)-INDEX($J$11:$J$33,MATCH(($B$4+A232),$I$11:$I$33,1)))*(($B$4+A232)-INDEX($I$11:$I$33,MATCH(($B$4+A232),$I$11:$I$33,1)))/(INDEX($I$11:$I$33,MATCH(($B$4+A232),$I$11:$I$33,1)+1)-INDEX($I$11:$I$33,MATCH(($B$4+A232),$I$11:$I$33,1))))))),1)</f>
        <v>1</v>
      </c>
      <c r="D232" s="43" t="n">
        <f aca="false">B232*(1+$B$30)^(-A232)</f>
        <v>0</v>
      </c>
      <c r="E232" s="43" t="n">
        <f aca="false">B232*C232*(1+$B$5)^(-A232)</f>
        <v>0</v>
      </c>
      <c r="G232" s="32" t="n">
        <f aca="false">$B$31+0.125+172*0.25</f>
        <v>105.565</v>
      </c>
      <c r="H232" s="27" t="n">
        <f aca="false">IF(G232&lt;$B$33,1,0)</f>
        <v>0</v>
      </c>
      <c r="I232" s="43" t="n">
        <f aca="false">H232*(1-$B$6)^(G232-$B$31)*(1+$B$30)^(-G232)</f>
        <v>0</v>
      </c>
      <c r="J232" s="43" t="n">
        <f aca="false">H232*(1-$B$6)^(G232-$B$31)*L232*(1+$B$5)^(-G232)</f>
        <v>0</v>
      </c>
      <c r="L232" s="43" t="n">
        <f aca="false">IF($B$7="Oui",1-(IF(($B$4+G232)&lt;=$L$11,$M$11,IF(($B$4+G232)&gt;=$L$12,$M$12,INDEX($M$11:$M$12,MATCH(($B$4+G232),$L$11:$L$12,1))+(INDEX($M$11:$M$12,MATCH(($B$4+G232),$L$11:$L$12,1)+1)-INDEX($M$11:$M$12,MATCH(($B$4+G232),$L$11:$L$12,1)))*(($B$4+G232)-INDEX($L$11:$L$12,MATCH(($B$4+G232),$L$11:$L$12,1)))/(INDEX($L$11:$L$12,MATCH(($B$4+G232),$L$11:$L$12,1)+1)-INDEX($L$11:$L$12,MATCH(($B$4+G232),$L$11:$L$12,1)))))),1)</f>
        <v>1</v>
      </c>
    </row>
    <row r="233" customFormat="false" ht="15" hidden="false" customHeight="false" outlineLevel="0" collapsed="false">
      <c r="A233" s="32" t="n">
        <f aca="false">$B$32+0.125+173*0.25</f>
        <v>66.485</v>
      </c>
      <c r="B233" s="27" t="n">
        <f aca="false">IF(A233&lt;$B$31,1,0)</f>
        <v>0</v>
      </c>
      <c r="C233" s="43" t="n">
        <f aca="false">IF($B$7="Oui",1+((IF(($B$4+A233)&lt;=$I$11,$J$11,IF(($B$4+A233)&gt;=$I$33,$J$33,INDEX($J$11:$J$33,MATCH(($B$4+A233),$I$11:$I$33,1))+(INDEX($J$11:$J$33,MATCH(($B$4+A233),$I$11:$I$33,1)+1)-INDEX($J$11:$J$33,MATCH(($B$4+A233),$I$11:$I$33,1)))*(($B$4+A233)-INDEX($I$11:$I$33,MATCH(($B$4+A233),$I$11:$I$33,1)))/(INDEX($I$11:$I$33,MATCH(($B$4+A233),$I$11:$I$33,1)+1)-INDEX($I$11:$I$33,MATCH(($B$4+A233),$I$11:$I$33,1))))))-(IF(($B$4+A233)&lt;=$L$11,$M$11,IF(($B$4+A233)&gt;=$L$12,$M$12,INDEX($M$11:$M$12,MATCH(($B$4+A233),$L$11:$L$12,1))+(INDEX($M$11:$M$12,MATCH(($B$4+A233),$L$11:$L$12,1)+1)-INDEX($M$11:$M$12,MATCH(($B$4+A233),$L$11:$L$12,1)))*(($B$4+A233)-INDEX($L$11:$L$12,MATCH(($B$4+A233),$L$11:$L$12,1)))/(INDEX($L$11:$L$12,MATCH(($B$4+A233),$L$11:$L$12,1)+1)-INDEX($L$11:$L$12,MATCH(($B$4+A233),$L$11:$L$12,1)))))))/(1-(IF(($B$4+A233)&lt;=$I$11,$J$11,IF(($B$4+A233)&gt;=$I$33,$J$33,INDEX($J$11:$J$33,MATCH(($B$4+A233),$I$11:$I$33,1))+(INDEX($J$11:$J$33,MATCH(($B$4+A233),$I$11:$I$33,1)+1)-INDEX($J$11:$J$33,MATCH(($B$4+A233),$I$11:$I$33,1)))*(($B$4+A233)-INDEX($I$11:$I$33,MATCH(($B$4+A233),$I$11:$I$33,1)))/(INDEX($I$11:$I$33,MATCH(($B$4+A233),$I$11:$I$33,1)+1)-INDEX($I$11:$I$33,MATCH(($B$4+A233),$I$11:$I$33,1))))))),1)</f>
        <v>1</v>
      </c>
      <c r="D233" s="43" t="n">
        <f aca="false">B233*(1+$B$30)^(-A233)</f>
        <v>0</v>
      </c>
      <c r="E233" s="43" t="n">
        <f aca="false">B233*C233*(1+$B$5)^(-A233)</f>
        <v>0</v>
      </c>
      <c r="G233" s="32" t="n">
        <f aca="false">$B$31+0.125+173*0.25</f>
        <v>105.815</v>
      </c>
      <c r="H233" s="27" t="n">
        <f aca="false">IF(G233&lt;$B$33,1,0)</f>
        <v>0</v>
      </c>
      <c r="I233" s="43" t="n">
        <f aca="false">H233*(1-$B$6)^(G233-$B$31)*(1+$B$30)^(-G233)</f>
        <v>0</v>
      </c>
      <c r="J233" s="43" t="n">
        <f aca="false">H233*(1-$B$6)^(G233-$B$31)*L233*(1+$B$5)^(-G233)</f>
        <v>0</v>
      </c>
      <c r="L233" s="43" t="n">
        <f aca="false">IF($B$7="Oui",1-(IF(($B$4+G233)&lt;=$L$11,$M$11,IF(($B$4+G233)&gt;=$L$12,$M$12,INDEX($M$11:$M$12,MATCH(($B$4+G233),$L$11:$L$12,1))+(INDEX($M$11:$M$12,MATCH(($B$4+G233),$L$11:$L$12,1)+1)-INDEX($M$11:$M$12,MATCH(($B$4+G233),$L$11:$L$12,1)))*(($B$4+G233)-INDEX($L$11:$L$12,MATCH(($B$4+G233),$L$11:$L$12,1)))/(INDEX($L$11:$L$12,MATCH(($B$4+G233),$L$11:$L$12,1)+1)-INDEX($L$11:$L$12,MATCH(($B$4+G233),$L$11:$L$12,1)))))),1)</f>
        <v>1</v>
      </c>
    </row>
    <row r="234" customFormat="false" ht="15" hidden="false" customHeight="false" outlineLevel="0" collapsed="false">
      <c r="A234" s="32" t="n">
        <f aca="false">$B$32+0.125+174*0.25</f>
        <v>66.735</v>
      </c>
      <c r="B234" s="27" t="n">
        <f aca="false">IF(A234&lt;$B$31,1,0)</f>
        <v>0</v>
      </c>
      <c r="C234" s="43" t="n">
        <f aca="false">IF($B$7="Oui",1+((IF(($B$4+A234)&lt;=$I$11,$J$11,IF(($B$4+A234)&gt;=$I$33,$J$33,INDEX($J$11:$J$33,MATCH(($B$4+A234),$I$11:$I$33,1))+(INDEX($J$11:$J$33,MATCH(($B$4+A234),$I$11:$I$33,1)+1)-INDEX($J$11:$J$33,MATCH(($B$4+A234),$I$11:$I$33,1)))*(($B$4+A234)-INDEX($I$11:$I$33,MATCH(($B$4+A234),$I$11:$I$33,1)))/(INDEX($I$11:$I$33,MATCH(($B$4+A234),$I$11:$I$33,1)+1)-INDEX($I$11:$I$33,MATCH(($B$4+A234),$I$11:$I$33,1))))))-(IF(($B$4+A234)&lt;=$L$11,$M$11,IF(($B$4+A234)&gt;=$L$12,$M$12,INDEX($M$11:$M$12,MATCH(($B$4+A234),$L$11:$L$12,1))+(INDEX($M$11:$M$12,MATCH(($B$4+A234),$L$11:$L$12,1)+1)-INDEX($M$11:$M$12,MATCH(($B$4+A234),$L$11:$L$12,1)))*(($B$4+A234)-INDEX($L$11:$L$12,MATCH(($B$4+A234),$L$11:$L$12,1)))/(INDEX($L$11:$L$12,MATCH(($B$4+A234),$L$11:$L$12,1)+1)-INDEX($L$11:$L$12,MATCH(($B$4+A234),$L$11:$L$12,1)))))))/(1-(IF(($B$4+A234)&lt;=$I$11,$J$11,IF(($B$4+A234)&gt;=$I$33,$J$33,INDEX($J$11:$J$33,MATCH(($B$4+A234),$I$11:$I$33,1))+(INDEX($J$11:$J$33,MATCH(($B$4+A234),$I$11:$I$33,1)+1)-INDEX($J$11:$J$33,MATCH(($B$4+A234),$I$11:$I$33,1)))*(($B$4+A234)-INDEX($I$11:$I$33,MATCH(($B$4+A234),$I$11:$I$33,1)))/(INDEX($I$11:$I$33,MATCH(($B$4+A234),$I$11:$I$33,1)+1)-INDEX($I$11:$I$33,MATCH(($B$4+A234),$I$11:$I$33,1))))))),1)</f>
        <v>1</v>
      </c>
      <c r="D234" s="43" t="n">
        <f aca="false">B234*(1+$B$30)^(-A234)</f>
        <v>0</v>
      </c>
      <c r="E234" s="43" t="n">
        <f aca="false">B234*C234*(1+$B$5)^(-A234)</f>
        <v>0</v>
      </c>
      <c r="G234" s="32" t="n">
        <f aca="false">$B$31+0.125+174*0.25</f>
        <v>106.065</v>
      </c>
      <c r="H234" s="27" t="n">
        <f aca="false">IF(G234&lt;$B$33,1,0)</f>
        <v>0</v>
      </c>
      <c r="I234" s="43" t="n">
        <f aca="false">H234*(1-$B$6)^(G234-$B$31)*(1+$B$30)^(-G234)</f>
        <v>0</v>
      </c>
      <c r="J234" s="43" t="n">
        <f aca="false">H234*(1-$B$6)^(G234-$B$31)*L234*(1+$B$5)^(-G234)</f>
        <v>0</v>
      </c>
      <c r="L234" s="43" t="n">
        <f aca="false">IF($B$7="Oui",1-(IF(($B$4+G234)&lt;=$L$11,$M$11,IF(($B$4+G234)&gt;=$L$12,$M$12,INDEX($M$11:$M$12,MATCH(($B$4+G234),$L$11:$L$12,1))+(INDEX($M$11:$M$12,MATCH(($B$4+G234),$L$11:$L$12,1)+1)-INDEX($M$11:$M$12,MATCH(($B$4+G234),$L$11:$L$12,1)))*(($B$4+G234)-INDEX($L$11:$L$12,MATCH(($B$4+G234),$L$11:$L$12,1)))/(INDEX($L$11:$L$12,MATCH(($B$4+G234),$L$11:$L$12,1)+1)-INDEX($L$11:$L$12,MATCH(($B$4+G234),$L$11:$L$12,1)))))),1)</f>
        <v>1</v>
      </c>
    </row>
    <row r="235" customFormat="false" ht="15" hidden="false" customHeight="false" outlineLevel="0" collapsed="false">
      <c r="A235" s="32" t="n">
        <f aca="false">$B$32+0.125+175*0.25</f>
        <v>66.985</v>
      </c>
      <c r="B235" s="27" t="n">
        <f aca="false">IF(A235&lt;$B$31,1,0)</f>
        <v>0</v>
      </c>
      <c r="C235" s="43" t="n">
        <f aca="false">IF($B$7="Oui",1+((IF(($B$4+A235)&lt;=$I$11,$J$11,IF(($B$4+A235)&gt;=$I$33,$J$33,INDEX($J$11:$J$33,MATCH(($B$4+A235),$I$11:$I$33,1))+(INDEX($J$11:$J$33,MATCH(($B$4+A235),$I$11:$I$33,1)+1)-INDEX($J$11:$J$33,MATCH(($B$4+A235),$I$11:$I$33,1)))*(($B$4+A235)-INDEX($I$11:$I$33,MATCH(($B$4+A235),$I$11:$I$33,1)))/(INDEX($I$11:$I$33,MATCH(($B$4+A235),$I$11:$I$33,1)+1)-INDEX($I$11:$I$33,MATCH(($B$4+A235),$I$11:$I$33,1))))))-(IF(($B$4+A235)&lt;=$L$11,$M$11,IF(($B$4+A235)&gt;=$L$12,$M$12,INDEX($M$11:$M$12,MATCH(($B$4+A235),$L$11:$L$12,1))+(INDEX($M$11:$M$12,MATCH(($B$4+A235),$L$11:$L$12,1)+1)-INDEX($M$11:$M$12,MATCH(($B$4+A235),$L$11:$L$12,1)))*(($B$4+A235)-INDEX($L$11:$L$12,MATCH(($B$4+A235),$L$11:$L$12,1)))/(INDEX($L$11:$L$12,MATCH(($B$4+A235),$L$11:$L$12,1)+1)-INDEX($L$11:$L$12,MATCH(($B$4+A235),$L$11:$L$12,1)))))))/(1-(IF(($B$4+A235)&lt;=$I$11,$J$11,IF(($B$4+A235)&gt;=$I$33,$J$33,INDEX($J$11:$J$33,MATCH(($B$4+A235),$I$11:$I$33,1))+(INDEX($J$11:$J$33,MATCH(($B$4+A235),$I$11:$I$33,1)+1)-INDEX($J$11:$J$33,MATCH(($B$4+A235),$I$11:$I$33,1)))*(($B$4+A235)-INDEX($I$11:$I$33,MATCH(($B$4+A235),$I$11:$I$33,1)))/(INDEX($I$11:$I$33,MATCH(($B$4+A235),$I$11:$I$33,1)+1)-INDEX($I$11:$I$33,MATCH(($B$4+A235),$I$11:$I$33,1))))))),1)</f>
        <v>1</v>
      </c>
      <c r="D235" s="43" t="n">
        <f aca="false">B235*(1+$B$30)^(-A235)</f>
        <v>0</v>
      </c>
      <c r="E235" s="43" t="n">
        <f aca="false">B235*C235*(1+$B$5)^(-A235)</f>
        <v>0</v>
      </c>
      <c r="G235" s="32" t="n">
        <f aca="false">$B$31+0.125+175*0.25</f>
        <v>106.315</v>
      </c>
      <c r="H235" s="27" t="n">
        <f aca="false">IF(G235&lt;$B$33,1,0)</f>
        <v>0</v>
      </c>
      <c r="I235" s="43" t="n">
        <f aca="false">H235*(1-$B$6)^(G235-$B$31)*(1+$B$30)^(-G235)</f>
        <v>0</v>
      </c>
      <c r="J235" s="43" t="n">
        <f aca="false">H235*(1-$B$6)^(G235-$B$31)*L235*(1+$B$5)^(-G235)</f>
        <v>0</v>
      </c>
      <c r="L235" s="43" t="n">
        <f aca="false">IF($B$7="Oui",1-(IF(($B$4+G235)&lt;=$L$11,$M$11,IF(($B$4+G235)&gt;=$L$12,$M$12,INDEX($M$11:$M$12,MATCH(($B$4+G235),$L$11:$L$12,1))+(INDEX($M$11:$M$12,MATCH(($B$4+G235),$L$11:$L$12,1)+1)-INDEX($M$11:$M$12,MATCH(($B$4+G235),$L$11:$L$12,1)))*(($B$4+G235)-INDEX($L$11:$L$12,MATCH(($B$4+G235),$L$11:$L$12,1)))/(INDEX($L$11:$L$12,MATCH(($B$4+G235),$L$11:$L$12,1)+1)-INDEX($L$11:$L$12,MATCH(($B$4+G235),$L$11:$L$12,1)))))),1)</f>
        <v>1</v>
      </c>
    </row>
    <row r="236" customFormat="false" ht="15" hidden="false" customHeight="false" outlineLevel="0" collapsed="false">
      <c r="A236" s="32" t="n">
        <f aca="false">$B$32+0.125+176*0.25</f>
        <v>67.235</v>
      </c>
      <c r="B236" s="27" t="n">
        <f aca="false">IF(A236&lt;$B$31,1,0)</f>
        <v>0</v>
      </c>
      <c r="C236" s="43" t="n">
        <f aca="false">IF($B$7="Oui",1+((IF(($B$4+A236)&lt;=$I$11,$J$11,IF(($B$4+A236)&gt;=$I$33,$J$33,INDEX($J$11:$J$33,MATCH(($B$4+A236),$I$11:$I$33,1))+(INDEX($J$11:$J$33,MATCH(($B$4+A236),$I$11:$I$33,1)+1)-INDEX($J$11:$J$33,MATCH(($B$4+A236),$I$11:$I$33,1)))*(($B$4+A236)-INDEX($I$11:$I$33,MATCH(($B$4+A236),$I$11:$I$33,1)))/(INDEX($I$11:$I$33,MATCH(($B$4+A236),$I$11:$I$33,1)+1)-INDEX($I$11:$I$33,MATCH(($B$4+A236),$I$11:$I$33,1))))))-(IF(($B$4+A236)&lt;=$L$11,$M$11,IF(($B$4+A236)&gt;=$L$12,$M$12,INDEX($M$11:$M$12,MATCH(($B$4+A236),$L$11:$L$12,1))+(INDEX($M$11:$M$12,MATCH(($B$4+A236),$L$11:$L$12,1)+1)-INDEX($M$11:$M$12,MATCH(($B$4+A236),$L$11:$L$12,1)))*(($B$4+A236)-INDEX($L$11:$L$12,MATCH(($B$4+A236),$L$11:$L$12,1)))/(INDEX($L$11:$L$12,MATCH(($B$4+A236),$L$11:$L$12,1)+1)-INDEX($L$11:$L$12,MATCH(($B$4+A236),$L$11:$L$12,1)))))))/(1-(IF(($B$4+A236)&lt;=$I$11,$J$11,IF(($B$4+A236)&gt;=$I$33,$J$33,INDEX($J$11:$J$33,MATCH(($B$4+A236),$I$11:$I$33,1))+(INDEX($J$11:$J$33,MATCH(($B$4+A236),$I$11:$I$33,1)+1)-INDEX($J$11:$J$33,MATCH(($B$4+A236),$I$11:$I$33,1)))*(($B$4+A236)-INDEX($I$11:$I$33,MATCH(($B$4+A236),$I$11:$I$33,1)))/(INDEX($I$11:$I$33,MATCH(($B$4+A236),$I$11:$I$33,1)+1)-INDEX($I$11:$I$33,MATCH(($B$4+A236),$I$11:$I$33,1))))))),1)</f>
        <v>1</v>
      </c>
      <c r="D236" s="43" t="n">
        <f aca="false">B236*(1+$B$30)^(-A236)</f>
        <v>0</v>
      </c>
      <c r="E236" s="43" t="n">
        <f aca="false">B236*C236*(1+$B$5)^(-A236)</f>
        <v>0</v>
      </c>
      <c r="G236" s="32" t="n">
        <f aca="false">$B$31+0.125+176*0.25</f>
        <v>106.565</v>
      </c>
      <c r="H236" s="27" t="n">
        <f aca="false">IF(G236&lt;$B$33,1,0)</f>
        <v>0</v>
      </c>
      <c r="I236" s="43" t="n">
        <f aca="false">H236*(1-$B$6)^(G236-$B$31)*(1+$B$30)^(-G236)</f>
        <v>0</v>
      </c>
      <c r="J236" s="43" t="n">
        <f aca="false">H236*(1-$B$6)^(G236-$B$31)*L236*(1+$B$5)^(-G236)</f>
        <v>0</v>
      </c>
      <c r="L236" s="43" t="n">
        <f aca="false">IF($B$7="Oui",1-(IF(($B$4+G236)&lt;=$L$11,$M$11,IF(($B$4+G236)&gt;=$L$12,$M$12,INDEX($M$11:$M$12,MATCH(($B$4+G236),$L$11:$L$12,1))+(INDEX($M$11:$M$12,MATCH(($B$4+G236),$L$11:$L$12,1)+1)-INDEX($M$11:$M$12,MATCH(($B$4+G236),$L$11:$L$12,1)))*(($B$4+G236)-INDEX($L$11:$L$12,MATCH(($B$4+G236),$L$11:$L$12,1)))/(INDEX($L$11:$L$12,MATCH(($B$4+G236),$L$11:$L$12,1)+1)-INDEX($L$11:$L$12,MATCH(($B$4+G236),$L$11:$L$12,1)))))),1)</f>
        <v>1</v>
      </c>
    </row>
    <row r="237" customFormat="false" ht="15" hidden="false" customHeight="false" outlineLevel="0" collapsed="false">
      <c r="A237" s="32" t="n">
        <f aca="false">$B$32+0.125+177*0.25</f>
        <v>67.485</v>
      </c>
      <c r="B237" s="27" t="n">
        <f aca="false">IF(A237&lt;$B$31,1,0)</f>
        <v>0</v>
      </c>
      <c r="C237" s="43" t="n">
        <f aca="false">IF($B$7="Oui",1+((IF(($B$4+A237)&lt;=$I$11,$J$11,IF(($B$4+A237)&gt;=$I$33,$J$33,INDEX($J$11:$J$33,MATCH(($B$4+A237),$I$11:$I$33,1))+(INDEX($J$11:$J$33,MATCH(($B$4+A237),$I$11:$I$33,1)+1)-INDEX($J$11:$J$33,MATCH(($B$4+A237),$I$11:$I$33,1)))*(($B$4+A237)-INDEX($I$11:$I$33,MATCH(($B$4+A237),$I$11:$I$33,1)))/(INDEX($I$11:$I$33,MATCH(($B$4+A237),$I$11:$I$33,1)+1)-INDEX($I$11:$I$33,MATCH(($B$4+A237),$I$11:$I$33,1))))))-(IF(($B$4+A237)&lt;=$L$11,$M$11,IF(($B$4+A237)&gt;=$L$12,$M$12,INDEX($M$11:$M$12,MATCH(($B$4+A237),$L$11:$L$12,1))+(INDEX($M$11:$M$12,MATCH(($B$4+A237),$L$11:$L$12,1)+1)-INDEX($M$11:$M$12,MATCH(($B$4+A237),$L$11:$L$12,1)))*(($B$4+A237)-INDEX($L$11:$L$12,MATCH(($B$4+A237),$L$11:$L$12,1)))/(INDEX($L$11:$L$12,MATCH(($B$4+A237),$L$11:$L$12,1)+1)-INDEX($L$11:$L$12,MATCH(($B$4+A237),$L$11:$L$12,1)))))))/(1-(IF(($B$4+A237)&lt;=$I$11,$J$11,IF(($B$4+A237)&gt;=$I$33,$J$33,INDEX($J$11:$J$33,MATCH(($B$4+A237),$I$11:$I$33,1))+(INDEX($J$11:$J$33,MATCH(($B$4+A237),$I$11:$I$33,1)+1)-INDEX($J$11:$J$33,MATCH(($B$4+A237),$I$11:$I$33,1)))*(($B$4+A237)-INDEX($I$11:$I$33,MATCH(($B$4+A237),$I$11:$I$33,1)))/(INDEX($I$11:$I$33,MATCH(($B$4+A237),$I$11:$I$33,1)+1)-INDEX($I$11:$I$33,MATCH(($B$4+A237),$I$11:$I$33,1))))))),1)</f>
        <v>1</v>
      </c>
      <c r="D237" s="43" t="n">
        <f aca="false">B237*(1+$B$30)^(-A237)</f>
        <v>0</v>
      </c>
      <c r="E237" s="43" t="n">
        <f aca="false">B237*C237*(1+$B$5)^(-A237)</f>
        <v>0</v>
      </c>
      <c r="G237" s="32" t="n">
        <f aca="false">$B$31+0.125+177*0.25</f>
        <v>106.815</v>
      </c>
      <c r="H237" s="27" t="n">
        <f aca="false">IF(G237&lt;$B$33,1,0)</f>
        <v>0</v>
      </c>
      <c r="I237" s="43" t="n">
        <f aca="false">H237*(1-$B$6)^(G237-$B$31)*(1+$B$30)^(-G237)</f>
        <v>0</v>
      </c>
      <c r="J237" s="43" t="n">
        <f aca="false">H237*(1-$B$6)^(G237-$B$31)*L237*(1+$B$5)^(-G237)</f>
        <v>0</v>
      </c>
      <c r="L237" s="43" t="n">
        <f aca="false">IF($B$7="Oui",1-(IF(($B$4+G237)&lt;=$L$11,$M$11,IF(($B$4+G237)&gt;=$L$12,$M$12,INDEX($M$11:$M$12,MATCH(($B$4+G237),$L$11:$L$12,1))+(INDEX($M$11:$M$12,MATCH(($B$4+G237),$L$11:$L$12,1)+1)-INDEX($M$11:$M$12,MATCH(($B$4+G237),$L$11:$L$12,1)))*(($B$4+G237)-INDEX($L$11:$L$12,MATCH(($B$4+G237),$L$11:$L$12,1)))/(INDEX($L$11:$L$12,MATCH(($B$4+G237),$L$11:$L$12,1)+1)-INDEX($L$11:$L$12,MATCH(($B$4+G237),$L$11:$L$12,1)))))),1)</f>
        <v>1</v>
      </c>
    </row>
    <row r="238" customFormat="false" ht="15" hidden="false" customHeight="false" outlineLevel="0" collapsed="false">
      <c r="A238" s="32" t="n">
        <f aca="false">$B$32+0.125+178*0.25</f>
        <v>67.735</v>
      </c>
      <c r="B238" s="27" t="n">
        <f aca="false">IF(A238&lt;$B$31,1,0)</f>
        <v>0</v>
      </c>
      <c r="C238" s="43" t="n">
        <f aca="false">IF($B$7="Oui",1+((IF(($B$4+A238)&lt;=$I$11,$J$11,IF(($B$4+A238)&gt;=$I$33,$J$33,INDEX($J$11:$J$33,MATCH(($B$4+A238),$I$11:$I$33,1))+(INDEX($J$11:$J$33,MATCH(($B$4+A238),$I$11:$I$33,1)+1)-INDEX($J$11:$J$33,MATCH(($B$4+A238),$I$11:$I$33,1)))*(($B$4+A238)-INDEX($I$11:$I$33,MATCH(($B$4+A238),$I$11:$I$33,1)))/(INDEX($I$11:$I$33,MATCH(($B$4+A238),$I$11:$I$33,1)+1)-INDEX($I$11:$I$33,MATCH(($B$4+A238),$I$11:$I$33,1))))))-(IF(($B$4+A238)&lt;=$L$11,$M$11,IF(($B$4+A238)&gt;=$L$12,$M$12,INDEX($M$11:$M$12,MATCH(($B$4+A238),$L$11:$L$12,1))+(INDEX($M$11:$M$12,MATCH(($B$4+A238),$L$11:$L$12,1)+1)-INDEX($M$11:$M$12,MATCH(($B$4+A238),$L$11:$L$12,1)))*(($B$4+A238)-INDEX($L$11:$L$12,MATCH(($B$4+A238),$L$11:$L$12,1)))/(INDEX($L$11:$L$12,MATCH(($B$4+A238),$L$11:$L$12,1)+1)-INDEX($L$11:$L$12,MATCH(($B$4+A238),$L$11:$L$12,1)))))))/(1-(IF(($B$4+A238)&lt;=$I$11,$J$11,IF(($B$4+A238)&gt;=$I$33,$J$33,INDEX($J$11:$J$33,MATCH(($B$4+A238),$I$11:$I$33,1))+(INDEX($J$11:$J$33,MATCH(($B$4+A238),$I$11:$I$33,1)+1)-INDEX($J$11:$J$33,MATCH(($B$4+A238),$I$11:$I$33,1)))*(($B$4+A238)-INDEX($I$11:$I$33,MATCH(($B$4+A238),$I$11:$I$33,1)))/(INDEX($I$11:$I$33,MATCH(($B$4+A238),$I$11:$I$33,1)+1)-INDEX($I$11:$I$33,MATCH(($B$4+A238),$I$11:$I$33,1))))))),1)</f>
        <v>1</v>
      </c>
      <c r="D238" s="43" t="n">
        <f aca="false">B238*(1+$B$30)^(-A238)</f>
        <v>0</v>
      </c>
      <c r="E238" s="43" t="n">
        <f aca="false">B238*C238*(1+$B$5)^(-A238)</f>
        <v>0</v>
      </c>
      <c r="G238" s="32" t="n">
        <f aca="false">$B$31+0.125+178*0.25</f>
        <v>107.065</v>
      </c>
      <c r="H238" s="27" t="n">
        <f aca="false">IF(G238&lt;$B$33,1,0)</f>
        <v>0</v>
      </c>
      <c r="I238" s="43" t="n">
        <f aca="false">H238*(1-$B$6)^(G238-$B$31)*(1+$B$30)^(-G238)</f>
        <v>0</v>
      </c>
      <c r="J238" s="43" t="n">
        <f aca="false">H238*(1-$B$6)^(G238-$B$31)*L238*(1+$B$5)^(-G238)</f>
        <v>0</v>
      </c>
      <c r="L238" s="43" t="n">
        <f aca="false">IF($B$7="Oui",1-(IF(($B$4+G238)&lt;=$L$11,$M$11,IF(($B$4+G238)&gt;=$L$12,$M$12,INDEX($M$11:$M$12,MATCH(($B$4+G238),$L$11:$L$12,1))+(INDEX($M$11:$M$12,MATCH(($B$4+G238),$L$11:$L$12,1)+1)-INDEX($M$11:$M$12,MATCH(($B$4+G238),$L$11:$L$12,1)))*(($B$4+G238)-INDEX($L$11:$L$12,MATCH(($B$4+G238),$L$11:$L$12,1)))/(INDEX($L$11:$L$12,MATCH(($B$4+G238),$L$11:$L$12,1)+1)-INDEX($L$11:$L$12,MATCH(($B$4+G238),$L$11:$L$12,1)))))),1)</f>
        <v>1</v>
      </c>
    </row>
    <row r="239" customFormat="false" ht="15" hidden="false" customHeight="false" outlineLevel="0" collapsed="false">
      <c r="A239" s="32" t="n">
        <f aca="false">$B$32+0.125+179*0.25</f>
        <v>67.985</v>
      </c>
      <c r="B239" s="27" t="n">
        <f aca="false">IF(A239&lt;$B$31,1,0)</f>
        <v>0</v>
      </c>
      <c r="C239" s="43" t="n">
        <f aca="false">IF($B$7="Oui",1+((IF(($B$4+A239)&lt;=$I$11,$J$11,IF(($B$4+A239)&gt;=$I$33,$J$33,INDEX($J$11:$J$33,MATCH(($B$4+A239),$I$11:$I$33,1))+(INDEX($J$11:$J$33,MATCH(($B$4+A239),$I$11:$I$33,1)+1)-INDEX($J$11:$J$33,MATCH(($B$4+A239),$I$11:$I$33,1)))*(($B$4+A239)-INDEX($I$11:$I$33,MATCH(($B$4+A239),$I$11:$I$33,1)))/(INDEX($I$11:$I$33,MATCH(($B$4+A239),$I$11:$I$33,1)+1)-INDEX($I$11:$I$33,MATCH(($B$4+A239),$I$11:$I$33,1))))))-(IF(($B$4+A239)&lt;=$L$11,$M$11,IF(($B$4+A239)&gt;=$L$12,$M$12,INDEX($M$11:$M$12,MATCH(($B$4+A239),$L$11:$L$12,1))+(INDEX($M$11:$M$12,MATCH(($B$4+A239),$L$11:$L$12,1)+1)-INDEX($M$11:$M$12,MATCH(($B$4+A239),$L$11:$L$12,1)))*(($B$4+A239)-INDEX($L$11:$L$12,MATCH(($B$4+A239),$L$11:$L$12,1)))/(INDEX($L$11:$L$12,MATCH(($B$4+A239),$L$11:$L$12,1)+1)-INDEX($L$11:$L$12,MATCH(($B$4+A239),$L$11:$L$12,1)))))))/(1-(IF(($B$4+A239)&lt;=$I$11,$J$11,IF(($B$4+A239)&gt;=$I$33,$J$33,INDEX($J$11:$J$33,MATCH(($B$4+A239),$I$11:$I$33,1))+(INDEX($J$11:$J$33,MATCH(($B$4+A239),$I$11:$I$33,1)+1)-INDEX($J$11:$J$33,MATCH(($B$4+A239),$I$11:$I$33,1)))*(($B$4+A239)-INDEX($I$11:$I$33,MATCH(($B$4+A239),$I$11:$I$33,1)))/(INDEX($I$11:$I$33,MATCH(($B$4+A239),$I$11:$I$33,1)+1)-INDEX($I$11:$I$33,MATCH(($B$4+A239),$I$11:$I$33,1))))))),1)</f>
        <v>1</v>
      </c>
      <c r="D239" s="43" t="n">
        <f aca="false">B239*(1+$B$30)^(-A239)</f>
        <v>0</v>
      </c>
      <c r="E239" s="43" t="n">
        <f aca="false">B239*C239*(1+$B$5)^(-A239)</f>
        <v>0</v>
      </c>
      <c r="G239" s="32" t="n">
        <f aca="false">$B$31+0.125+179*0.25</f>
        <v>107.315</v>
      </c>
      <c r="H239" s="27" t="n">
        <f aca="false">IF(G239&lt;$B$33,1,0)</f>
        <v>0</v>
      </c>
      <c r="I239" s="43" t="n">
        <f aca="false">H239*(1-$B$6)^(G239-$B$31)*(1+$B$30)^(-G239)</f>
        <v>0</v>
      </c>
      <c r="J239" s="43" t="n">
        <f aca="false">H239*(1-$B$6)^(G239-$B$31)*L239*(1+$B$5)^(-G239)</f>
        <v>0</v>
      </c>
      <c r="L239" s="43" t="n">
        <f aca="false">IF($B$7="Oui",1-(IF(($B$4+G239)&lt;=$L$11,$M$11,IF(($B$4+G239)&gt;=$L$12,$M$12,INDEX($M$11:$M$12,MATCH(($B$4+G239),$L$11:$L$12,1))+(INDEX($M$11:$M$12,MATCH(($B$4+G239),$L$11:$L$12,1)+1)-INDEX($M$11:$M$12,MATCH(($B$4+G239),$L$11:$L$12,1)))*(($B$4+G239)-INDEX($L$11:$L$12,MATCH(($B$4+G239),$L$11:$L$12,1)))/(INDEX($L$11:$L$12,MATCH(($B$4+G239),$L$11:$L$12,1)+1)-INDEX($L$11:$L$12,MATCH(($B$4+G239),$L$11:$L$12,1)))))),1)</f>
        <v>1</v>
      </c>
    </row>
    <row r="240" customFormat="false" ht="15" hidden="false" customHeight="false" outlineLevel="0" collapsed="false">
      <c r="A240" s="32" t="n">
        <f aca="false">$B$32+0.125+180*0.25</f>
        <v>68.235</v>
      </c>
      <c r="B240" s="27" t="n">
        <f aca="false">IF(A240&lt;$B$31,1,0)</f>
        <v>0</v>
      </c>
      <c r="C240" s="43" t="n">
        <f aca="false">IF($B$7="Oui",1+((IF(($B$4+A240)&lt;=$I$11,$J$11,IF(($B$4+A240)&gt;=$I$33,$J$33,INDEX($J$11:$J$33,MATCH(($B$4+A240),$I$11:$I$33,1))+(INDEX($J$11:$J$33,MATCH(($B$4+A240),$I$11:$I$33,1)+1)-INDEX($J$11:$J$33,MATCH(($B$4+A240),$I$11:$I$33,1)))*(($B$4+A240)-INDEX($I$11:$I$33,MATCH(($B$4+A240),$I$11:$I$33,1)))/(INDEX($I$11:$I$33,MATCH(($B$4+A240),$I$11:$I$33,1)+1)-INDEX($I$11:$I$33,MATCH(($B$4+A240),$I$11:$I$33,1))))))-(IF(($B$4+A240)&lt;=$L$11,$M$11,IF(($B$4+A240)&gt;=$L$12,$M$12,INDEX($M$11:$M$12,MATCH(($B$4+A240),$L$11:$L$12,1))+(INDEX($M$11:$M$12,MATCH(($B$4+A240),$L$11:$L$12,1)+1)-INDEX($M$11:$M$12,MATCH(($B$4+A240),$L$11:$L$12,1)))*(($B$4+A240)-INDEX($L$11:$L$12,MATCH(($B$4+A240),$L$11:$L$12,1)))/(INDEX($L$11:$L$12,MATCH(($B$4+A240),$L$11:$L$12,1)+1)-INDEX($L$11:$L$12,MATCH(($B$4+A240),$L$11:$L$12,1)))))))/(1-(IF(($B$4+A240)&lt;=$I$11,$J$11,IF(($B$4+A240)&gt;=$I$33,$J$33,INDEX($J$11:$J$33,MATCH(($B$4+A240),$I$11:$I$33,1))+(INDEX($J$11:$J$33,MATCH(($B$4+A240),$I$11:$I$33,1)+1)-INDEX($J$11:$J$33,MATCH(($B$4+A240),$I$11:$I$33,1)))*(($B$4+A240)-INDEX($I$11:$I$33,MATCH(($B$4+A240),$I$11:$I$33,1)))/(INDEX($I$11:$I$33,MATCH(($B$4+A240),$I$11:$I$33,1)+1)-INDEX($I$11:$I$33,MATCH(($B$4+A240),$I$11:$I$33,1))))))),1)</f>
        <v>1</v>
      </c>
      <c r="D240" s="43" t="n">
        <f aca="false">B240*(1+$B$30)^(-A240)</f>
        <v>0</v>
      </c>
      <c r="E240" s="43" t="n">
        <f aca="false">B240*C240*(1+$B$5)^(-A240)</f>
        <v>0</v>
      </c>
      <c r="G240" s="32" t="n">
        <f aca="false">$B$31+0.125+180*0.25</f>
        <v>107.565</v>
      </c>
      <c r="H240" s="27" t="n">
        <f aca="false">IF(G240&lt;$B$33,1,0)</f>
        <v>0</v>
      </c>
      <c r="I240" s="43" t="n">
        <f aca="false">H240*(1-$B$6)^(G240-$B$31)*(1+$B$30)^(-G240)</f>
        <v>0</v>
      </c>
      <c r="J240" s="43" t="n">
        <f aca="false">H240*(1-$B$6)^(G240-$B$31)*L240*(1+$B$5)^(-G240)</f>
        <v>0</v>
      </c>
      <c r="L240" s="43" t="n">
        <f aca="false">IF($B$7="Oui",1-(IF(($B$4+G240)&lt;=$L$11,$M$11,IF(($B$4+G240)&gt;=$L$12,$M$12,INDEX($M$11:$M$12,MATCH(($B$4+G240),$L$11:$L$12,1))+(INDEX($M$11:$M$12,MATCH(($B$4+G240),$L$11:$L$12,1)+1)-INDEX($M$11:$M$12,MATCH(($B$4+G240),$L$11:$L$12,1)))*(($B$4+G240)-INDEX($L$11:$L$12,MATCH(($B$4+G240),$L$11:$L$12,1)))/(INDEX($L$11:$L$12,MATCH(($B$4+G240),$L$11:$L$12,1)+1)-INDEX($L$11:$L$12,MATCH(($B$4+G240),$L$11:$L$12,1)))))),1)</f>
        <v>1</v>
      </c>
    </row>
    <row r="241" customFormat="false" ht="15" hidden="false" customHeight="false" outlineLevel="0" collapsed="false">
      <c r="A241" s="32" t="n">
        <f aca="false">$B$32+0.125+181*0.25</f>
        <v>68.485</v>
      </c>
      <c r="B241" s="27" t="n">
        <f aca="false">IF(A241&lt;$B$31,1,0)</f>
        <v>0</v>
      </c>
      <c r="C241" s="43" t="n">
        <f aca="false">IF($B$7="Oui",1+((IF(($B$4+A241)&lt;=$I$11,$J$11,IF(($B$4+A241)&gt;=$I$33,$J$33,INDEX($J$11:$J$33,MATCH(($B$4+A241),$I$11:$I$33,1))+(INDEX($J$11:$J$33,MATCH(($B$4+A241),$I$11:$I$33,1)+1)-INDEX($J$11:$J$33,MATCH(($B$4+A241),$I$11:$I$33,1)))*(($B$4+A241)-INDEX($I$11:$I$33,MATCH(($B$4+A241),$I$11:$I$33,1)))/(INDEX($I$11:$I$33,MATCH(($B$4+A241),$I$11:$I$33,1)+1)-INDEX($I$11:$I$33,MATCH(($B$4+A241),$I$11:$I$33,1))))))-(IF(($B$4+A241)&lt;=$L$11,$M$11,IF(($B$4+A241)&gt;=$L$12,$M$12,INDEX($M$11:$M$12,MATCH(($B$4+A241),$L$11:$L$12,1))+(INDEX($M$11:$M$12,MATCH(($B$4+A241),$L$11:$L$12,1)+1)-INDEX($M$11:$M$12,MATCH(($B$4+A241),$L$11:$L$12,1)))*(($B$4+A241)-INDEX($L$11:$L$12,MATCH(($B$4+A241),$L$11:$L$12,1)))/(INDEX($L$11:$L$12,MATCH(($B$4+A241),$L$11:$L$12,1)+1)-INDEX($L$11:$L$12,MATCH(($B$4+A241),$L$11:$L$12,1)))))))/(1-(IF(($B$4+A241)&lt;=$I$11,$J$11,IF(($B$4+A241)&gt;=$I$33,$J$33,INDEX($J$11:$J$33,MATCH(($B$4+A241),$I$11:$I$33,1))+(INDEX($J$11:$J$33,MATCH(($B$4+A241),$I$11:$I$33,1)+1)-INDEX($J$11:$J$33,MATCH(($B$4+A241),$I$11:$I$33,1)))*(($B$4+A241)-INDEX($I$11:$I$33,MATCH(($B$4+A241),$I$11:$I$33,1)))/(INDEX($I$11:$I$33,MATCH(($B$4+A241),$I$11:$I$33,1)+1)-INDEX($I$11:$I$33,MATCH(($B$4+A241),$I$11:$I$33,1))))))),1)</f>
        <v>1</v>
      </c>
      <c r="D241" s="43" t="n">
        <f aca="false">B241*(1+$B$30)^(-A241)</f>
        <v>0</v>
      </c>
      <c r="E241" s="43" t="n">
        <f aca="false">B241*C241*(1+$B$5)^(-A241)</f>
        <v>0</v>
      </c>
      <c r="G241" s="32" t="n">
        <f aca="false">$B$31+0.125+181*0.25</f>
        <v>107.815</v>
      </c>
      <c r="H241" s="27" t="n">
        <f aca="false">IF(G241&lt;$B$33,1,0)</f>
        <v>0</v>
      </c>
      <c r="I241" s="43" t="n">
        <f aca="false">H241*(1-$B$6)^(G241-$B$31)*(1+$B$30)^(-G241)</f>
        <v>0</v>
      </c>
      <c r="J241" s="43" t="n">
        <f aca="false">H241*(1-$B$6)^(G241-$B$31)*L241*(1+$B$5)^(-G241)</f>
        <v>0</v>
      </c>
      <c r="L241" s="43" t="n">
        <f aca="false">IF($B$7="Oui",1-(IF(($B$4+G241)&lt;=$L$11,$M$11,IF(($B$4+G241)&gt;=$L$12,$M$12,INDEX($M$11:$M$12,MATCH(($B$4+G241),$L$11:$L$12,1))+(INDEX($M$11:$M$12,MATCH(($B$4+G241),$L$11:$L$12,1)+1)-INDEX($M$11:$M$12,MATCH(($B$4+G241),$L$11:$L$12,1)))*(($B$4+G241)-INDEX($L$11:$L$12,MATCH(($B$4+G241),$L$11:$L$12,1)))/(INDEX($L$11:$L$12,MATCH(($B$4+G241),$L$11:$L$12,1)+1)-INDEX($L$11:$L$12,MATCH(($B$4+G241),$L$11:$L$12,1)))))),1)</f>
        <v>1</v>
      </c>
    </row>
    <row r="242" customFormat="false" ht="15" hidden="false" customHeight="false" outlineLevel="0" collapsed="false">
      <c r="A242" s="32" t="n">
        <f aca="false">$B$32+0.125+182*0.25</f>
        <v>68.735</v>
      </c>
      <c r="B242" s="27" t="n">
        <f aca="false">IF(A242&lt;$B$31,1,0)</f>
        <v>0</v>
      </c>
      <c r="C242" s="43" t="n">
        <f aca="false">IF($B$7="Oui",1+((IF(($B$4+A242)&lt;=$I$11,$J$11,IF(($B$4+A242)&gt;=$I$33,$J$33,INDEX($J$11:$J$33,MATCH(($B$4+A242),$I$11:$I$33,1))+(INDEX($J$11:$J$33,MATCH(($B$4+A242),$I$11:$I$33,1)+1)-INDEX($J$11:$J$33,MATCH(($B$4+A242),$I$11:$I$33,1)))*(($B$4+A242)-INDEX($I$11:$I$33,MATCH(($B$4+A242),$I$11:$I$33,1)))/(INDEX($I$11:$I$33,MATCH(($B$4+A242),$I$11:$I$33,1)+1)-INDEX($I$11:$I$33,MATCH(($B$4+A242),$I$11:$I$33,1))))))-(IF(($B$4+A242)&lt;=$L$11,$M$11,IF(($B$4+A242)&gt;=$L$12,$M$12,INDEX($M$11:$M$12,MATCH(($B$4+A242),$L$11:$L$12,1))+(INDEX($M$11:$M$12,MATCH(($B$4+A242),$L$11:$L$12,1)+1)-INDEX($M$11:$M$12,MATCH(($B$4+A242),$L$11:$L$12,1)))*(($B$4+A242)-INDEX($L$11:$L$12,MATCH(($B$4+A242),$L$11:$L$12,1)))/(INDEX($L$11:$L$12,MATCH(($B$4+A242),$L$11:$L$12,1)+1)-INDEX($L$11:$L$12,MATCH(($B$4+A242),$L$11:$L$12,1)))))))/(1-(IF(($B$4+A242)&lt;=$I$11,$J$11,IF(($B$4+A242)&gt;=$I$33,$J$33,INDEX($J$11:$J$33,MATCH(($B$4+A242),$I$11:$I$33,1))+(INDEX($J$11:$J$33,MATCH(($B$4+A242),$I$11:$I$33,1)+1)-INDEX($J$11:$J$33,MATCH(($B$4+A242),$I$11:$I$33,1)))*(($B$4+A242)-INDEX($I$11:$I$33,MATCH(($B$4+A242),$I$11:$I$33,1)))/(INDEX($I$11:$I$33,MATCH(($B$4+A242),$I$11:$I$33,1)+1)-INDEX($I$11:$I$33,MATCH(($B$4+A242),$I$11:$I$33,1))))))),1)</f>
        <v>1</v>
      </c>
      <c r="D242" s="43" t="n">
        <f aca="false">B242*(1+$B$30)^(-A242)</f>
        <v>0</v>
      </c>
      <c r="E242" s="43" t="n">
        <f aca="false">B242*C242*(1+$B$5)^(-A242)</f>
        <v>0</v>
      </c>
      <c r="G242" s="32" t="n">
        <f aca="false">$B$31+0.125+182*0.25</f>
        <v>108.065</v>
      </c>
      <c r="H242" s="27" t="n">
        <f aca="false">IF(G242&lt;$B$33,1,0)</f>
        <v>0</v>
      </c>
      <c r="I242" s="43" t="n">
        <f aca="false">H242*(1-$B$6)^(G242-$B$31)*(1+$B$30)^(-G242)</f>
        <v>0</v>
      </c>
      <c r="J242" s="43" t="n">
        <f aca="false">H242*(1-$B$6)^(G242-$B$31)*L242*(1+$B$5)^(-G242)</f>
        <v>0</v>
      </c>
      <c r="L242" s="43" t="n">
        <f aca="false">IF($B$7="Oui",1-(IF(($B$4+G242)&lt;=$L$11,$M$11,IF(($B$4+G242)&gt;=$L$12,$M$12,INDEX($M$11:$M$12,MATCH(($B$4+G242),$L$11:$L$12,1))+(INDEX($M$11:$M$12,MATCH(($B$4+G242),$L$11:$L$12,1)+1)-INDEX($M$11:$M$12,MATCH(($B$4+G242),$L$11:$L$12,1)))*(($B$4+G242)-INDEX($L$11:$L$12,MATCH(($B$4+G242),$L$11:$L$12,1)))/(INDEX($L$11:$L$12,MATCH(($B$4+G242),$L$11:$L$12,1)+1)-INDEX($L$11:$L$12,MATCH(($B$4+G242),$L$11:$L$12,1)))))),1)</f>
        <v>1</v>
      </c>
    </row>
    <row r="243" customFormat="false" ht="15" hidden="false" customHeight="false" outlineLevel="0" collapsed="false">
      <c r="A243" s="32" t="n">
        <f aca="false">$B$32+0.125+183*0.25</f>
        <v>68.985</v>
      </c>
      <c r="B243" s="27" t="n">
        <f aca="false">IF(A243&lt;$B$31,1,0)</f>
        <v>0</v>
      </c>
      <c r="C243" s="43" t="n">
        <f aca="false">IF($B$7="Oui",1+((IF(($B$4+A243)&lt;=$I$11,$J$11,IF(($B$4+A243)&gt;=$I$33,$J$33,INDEX($J$11:$J$33,MATCH(($B$4+A243),$I$11:$I$33,1))+(INDEX($J$11:$J$33,MATCH(($B$4+A243),$I$11:$I$33,1)+1)-INDEX($J$11:$J$33,MATCH(($B$4+A243),$I$11:$I$33,1)))*(($B$4+A243)-INDEX($I$11:$I$33,MATCH(($B$4+A243),$I$11:$I$33,1)))/(INDEX($I$11:$I$33,MATCH(($B$4+A243),$I$11:$I$33,1)+1)-INDEX($I$11:$I$33,MATCH(($B$4+A243),$I$11:$I$33,1))))))-(IF(($B$4+A243)&lt;=$L$11,$M$11,IF(($B$4+A243)&gt;=$L$12,$M$12,INDEX($M$11:$M$12,MATCH(($B$4+A243),$L$11:$L$12,1))+(INDEX($M$11:$M$12,MATCH(($B$4+A243),$L$11:$L$12,1)+1)-INDEX($M$11:$M$12,MATCH(($B$4+A243),$L$11:$L$12,1)))*(($B$4+A243)-INDEX($L$11:$L$12,MATCH(($B$4+A243),$L$11:$L$12,1)))/(INDEX($L$11:$L$12,MATCH(($B$4+A243),$L$11:$L$12,1)+1)-INDEX($L$11:$L$12,MATCH(($B$4+A243),$L$11:$L$12,1)))))))/(1-(IF(($B$4+A243)&lt;=$I$11,$J$11,IF(($B$4+A243)&gt;=$I$33,$J$33,INDEX($J$11:$J$33,MATCH(($B$4+A243),$I$11:$I$33,1))+(INDEX($J$11:$J$33,MATCH(($B$4+A243),$I$11:$I$33,1)+1)-INDEX($J$11:$J$33,MATCH(($B$4+A243),$I$11:$I$33,1)))*(($B$4+A243)-INDEX($I$11:$I$33,MATCH(($B$4+A243),$I$11:$I$33,1)))/(INDEX($I$11:$I$33,MATCH(($B$4+A243),$I$11:$I$33,1)+1)-INDEX($I$11:$I$33,MATCH(($B$4+A243),$I$11:$I$33,1))))))),1)</f>
        <v>1</v>
      </c>
      <c r="D243" s="43" t="n">
        <f aca="false">B243*(1+$B$30)^(-A243)</f>
        <v>0</v>
      </c>
      <c r="E243" s="43" t="n">
        <f aca="false">B243*C243*(1+$B$5)^(-A243)</f>
        <v>0</v>
      </c>
      <c r="G243" s="32" t="n">
        <f aca="false">$B$31+0.125+183*0.25</f>
        <v>108.315</v>
      </c>
      <c r="H243" s="27" t="n">
        <f aca="false">IF(G243&lt;$B$33,1,0)</f>
        <v>0</v>
      </c>
      <c r="I243" s="43" t="n">
        <f aca="false">H243*(1-$B$6)^(G243-$B$31)*(1+$B$30)^(-G243)</f>
        <v>0</v>
      </c>
      <c r="J243" s="43" t="n">
        <f aca="false">H243*(1-$B$6)^(G243-$B$31)*L243*(1+$B$5)^(-G243)</f>
        <v>0</v>
      </c>
      <c r="L243" s="43" t="n">
        <f aca="false">IF($B$7="Oui",1-(IF(($B$4+G243)&lt;=$L$11,$M$11,IF(($B$4+G243)&gt;=$L$12,$M$12,INDEX($M$11:$M$12,MATCH(($B$4+G243),$L$11:$L$12,1))+(INDEX($M$11:$M$12,MATCH(($B$4+G243),$L$11:$L$12,1)+1)-INDEX($M$11:$M$12,MATCH(($B$4+G243),$L$11:$L$12,1)))*(($B$4+G243)-INDEX($L$11:$L$12,MATCH(($B$4+G243),$L$11:$L$12,1)))/(INDEX($L$11:$L$12,MATCH(($B$4+G243),$L$11:$L$12,1)+1)-INDEX($L$11:$L$12,MATCH(($B$4+G243),$L$11:$L$12,1)))))),1)</f>
        <v>1</v>
      </c>
    </row>
    <row r="244" customFormat="false" ht="15" hidden="false" customHeight="false" outlineLevel="0" collapsed="false">
      <c r="A244" s="32" t="n">
        <f aca="false">$B$32+0.125+184*0.25</f>
        <v>69.235</v>
      </c>
      <c r="B244" s="27" t="n">
        <f aca="false">IF(A244&lt;$B$31,1,0)</f>
        <v>0</v>
      </c>
      <c r="C244" s="43" t="n">
        <f aca="false">IF($B$7="Oui",1+((IF(($B$4+A244)&lt;=$I$11,$J$11,IF(($B$4+A244)&gt;=$I$33,$J$33,INDEX($J$11:$J$33,MATCH(($B$4+A244),$I$11:$I$33,1))+(INDEX($J$11:$J$33,MATCH(($B$4+A244),$I$11:$I$33,1)+1)-INDEX($J$11:$J$33,MATCH(($B$4+A244),$I$11:$I$33,1)))*(($B$4+A244)-INDEX($I$11:$I$33,MATCH(($B$4+A244),$I$11:$I$33,1)))/(INDEX($I$11:$I$33,MATCH(($B$4+A244),$I$11:$I$33,1)+1)-INDEX($I$11:$I$33,MATCH(($B$4+A244),$I$11:$I$33,1))))))-(IF(($B$4+A244)&lt;=$L$11,$M$11,IF(($B$4+A244)&gt;=$L$12,$M$12,INDEX($M$11:$M$12,MATCH(($B$4+A244),$L$11:$L$12,1))+(INDEX($M$11:$M$12,MATCH(($B$4+A244),$L$11:$L$12,1)+1)-INDEX($M$11:$M$12,MATCH(($B$4+A244),$L$11:$L$12,1)))*(($B$4+A244)-INDEX($L$11:$L$12,MATCH(($B$4+A244),$L$11:$L$12,1)))/(INDEX($L$11:$L$12,MATCH(($B$4+A244),$L$11:$L$12,1)+1)-INDEX($L$11:$L$12,MATCH(($B$4+A244),$L$11:$L$12,1)))))))/(1-(IF(($B$4+A244)&lt;=$I$11,$J$11,IF(($B$4+A244)&gt;=$I$33,$J$33,INDEX($J$11:$J$33,MATCH(($B$4+A244),$I$11:$I$33,1))+(INDEX($J$11:$J$33,MATCH(($B$4+A244),$I$11:$I$33,1)+1)-INDEX($J$11:$J$33,MATCH(($B$4+A244),$I$11:$I$33,1)))*(($B$4+A244)-INDEX($I$11:$I$33,MATCH(($B$4+A244),$I$11:$I$33,1)))/(INDEX($I$11:$I$33,MATCH(($B$4+A244),$I$11:$I$33,1)+1)-INDEX($I$11:$I$33,MATCH(($B$4+A244),$I$11:$I$33,1))))))),1)</f>
        <v>1</v>
      </c>
      <c r="D244" s="43" t="n">
        <f aca="false">B244*(1+$B$30)^(-A244)</f>
        <v>0</v>
      </c>
      <c r="E244" s="43" t="n">
        <f aca="false">B244*C244*(1+$B$5)^(-A244)</f>
        <v>0</v>
      </c>
      <c r="G244" s="32" t="n">
        <f aca="false">$B$31+0.125+184*0.25</f>
        <v>108.565</v>
      </c>
      <c r="H244" s="27" t="n">
        <f aca="false">IF(G244&lt;$B$33,1,0)</f>
        <v>0</v>
      </c>
      <c r="I244" s="43" t="n">
        <f aca="false">H244*(1-$B$6)^(G244-$B$31)*(1+$B$30)^(-G244)</f>
        <v>0</v>
      </c>
      <c r="J244" s="43" t="n">
        <f aca="false">H244*(1-$B$6)^(G244-$B$31)*L244*(1+$B$5)^(-G244)</f>
        <v>0</v>
      </c>
      <c r="L244" s="43" t="n">
        <f aca="false">IF($B$7="Oui",1-(IF(($B$4+G244)&lt;=$L$11,$M$11,IF(($B$4+G244)&gt;=$L$12,$M$12,INDEX($M$11:$M$12,MATCH(($B$4+G244),$L$11:$L$12,1))+(INDEX($M$11:$M$12,MATCH(($B$4+G244),$L$11:$L$12,1)+1)-INDEX($M$11:$M$12,MATCH(($B$4+G244),$L$11:$L$12,1)))*(($B$4+G244)-INDEX($L$11:$L$12,MATCH(($B$4+G244),$L$11:$L$12,1)))/(INDEX($L$11:$L$12,MATCH(($B$4+G244),$L$11:$L$12,1)+1)-INDEX($L$11:$L$12,MATCH(($B$4+G244),$L$11:$L$12,1)))))),1)</f>
        <v>1</v>
      </c>
    </row>
    <row r="245" customFormat="false" ht="15" hidden="false" customHeight="false" outlineLevel="0" collapsed="false">
      <c r="A245" s="32" t="n">
        <f aca="false">$B$32+0.125+185*0.25</f>
        <v>69.485</v>
      </c>
      <c r="B245" s="27" t="n">
        <f aca="false">IF(A245&lt;$B$31,1,0)</f>
        <v>0</v>
      </c>
      <c r="C245" s="43" t="n">
        <f aca="false">IF($B$7="Oui",1+((IF(($B$4+A245)&lt;=$I$11,$J$11,IF(($B$4+A245)&gt;=$I$33,$J$33,INDEX($J$11:$J$33,MATCH(($B$4+A245),$I$11:$I$33,1))+(INDEX($J$11:$J$33,MATCH(($B$4+A245),$I$11:$I$33,1)+1)-INDEX($J$11:$J$33,MATCH(($B$4+A245),$I$11:$I$33,1)))*(($B$4+A245)-INDEX($I$11:$I$33,MATCH(($B$4+A245),$I$11:$I$33,1)))/(INDEX($I$11:$I$33,MATCH(($B$4+A245),$I$11:$I$33,1)+1)-INDEX($I$11:$I$33,MATCH(($B$4+A245),$I$11:$I$33,1))))))-(IF(($B$4+A245)&lt;=$L$11,$M$11,IF(($B$4+A245)&gt;=$L$12,$M$12,INDEX($M$11:$M$12,MATCH(($B$4+A245),$L$11:$L$12,1))+(INDEX($M$11:$M$12,MATCH(($B$4+A245),$L$11:$L$12,1)+1)-INDEX($M$11:$M$12,MATCH(($B$4+A245),$L$11:$L$12,1)))*(($B$4+A245)-INDEX($L$11:$L$12,MATCH(($B$4+A245),$L$11:$L$12,1)))/(INDEX($L$11:$L$12,MATCH(($B$4+A245),$L$11:$L$12,1)+1)-INDEX($L$11:$L$12,MATCH(($B$4+A245),$L$11:$L$12,1)))))))/(1-(IF(($B$4+A245)&lt;=$I$11,$J$11,IF(($B$4+A245)&gt;=$I$33,$J$33,INDEX($J$11:$J$33,MATCH(($B$4+A245),$I$11:$I$33,1))+(INDEX($J$11:$J$33,MATCH(($B$4+A245),$I$11:$I$33,1)+1)-INDEX($J$11:$J$33,MATCH(($B$4+A245),$I$11:$I$33,1)))*(($B$4+A245)-INDEX($I$11:$I$33,MATCH(($B$4+A245),$I$11:$I$33,1)))/(INDEX($I$11:$I$33,MATCH(($B$4+A245),$I$11:$I$33,1)+1)-INDEX($I$11:$I$33,MATCH(($B$4+A245),$I$11:$I$33,1))))))),1)</f>
        <v>1</v>
      </c>
      <c r="D245" s="43" t="n">
        <f aca="false">B245*(1+$B$30)^(-A245)</f>
        <v>0</v>
      </c>
      <c r="E245" s="43" t="n">
        <f aca="false">B245*C245*(1+$B$5)^(-A245)</f>
        <v>0</v>
      </c>
      <c r="G245" s="32" t="n">
        <f aca="false">$B$31+0.125+185*0.25</f>
        <v>108.815</v>
      </c>
      <c r="H245" s="27" t="n">
        <f aca="false">IF(G245&lt;$B$33,1,0)</f>
        <v>0</v>
      </c>
      <c r="I245" s="43" t="n">
        <f aca="false">H245*(1-$B$6)^(G245-$B$31)*(1+$B$30)^(-G245)</f>
        <v>0</v>
      </c>
      <c r="J245" s="43" t="n">
        <f aca="false">H245*(1-$B$6)^(G245-$B$31)*L245*(1+$B$5)^(-G245)</f>
        <v>0</v>
      </c>
      <c r="L245" s="43" t="n">
        <f aca="false">IF($B$7="Oui",1-(IF(($B$4+G245)&lt;=$L$11,$M$11,IF(($B$4+G245)&gt;=$L$12,$M$12,INDEX($M$11:$M$12,MATCH(($B$4+G245),$L$11:$L$12,1))+(INDEX($M$11:$M$12,MATCH(($B$4+G245),$L$11:$L$12,1)+1)-INDEX($M$11:$M$12,MATCH(($B$4+G245),$L$11:$L$12,1)))*(($B$4+G245)-INDEX($L$11:$L$12,MATCH(($B$4+G245),$L$11:$L$12,1)))/(INDEX($L$11:$L$12,MATCH(($B$4+G245),$L$11:$L$12,1)+1)-INDEX($L$11:$L$12,MATCH(($B$4+G245),$L$11:$L$12,1)))))),1)</f>
        <v>1</v>
      </c>
    </row>
    <row r="246" customFormat="false" ht="15" hidden="false" customHeight="false" outlineLevel="0" collapsed="false">
      <c r="A246" s="32" t="n">
        <f aca="false">$B$32+0.125+186*0.25</f>
        <v>69.735</v>
      </c>
      <c r="B246" s="27" t="n">
        <f aca="false">IF(A246&lt;$B$31,1,0)</f>
        <v>0</v>
      </c>
      <c r="C246" s="43" t="n">
        <f aca="false">IF($B$7="Oui",1+((IF(($B$4+A246)&lt;=$I$11,$J$11,IF(($B$4+A246)&gt;=$I$33,$J$33,INDEX($J$11:$J$33,MATCH(($B$4+A246),$I$11:$I$33,1))+(INDEX($J$11:$J$33,MATCH(($B$4+A246),$I$11:$I$33,1)+1)-INDEX($J$11:$J$33,MATCH(($B$4+A246),$I$11:$I$33,1)))*(($B$4+A246)-INDEX($I$11:$I$33,MATCH(($B$4+A246),$I$11:$I$33,1)))/(INDEX($I$11:$I$33,MATCH(($B$4+A246),$I$11:$I$33,1)+1)-INDEX($I$11:$I$33,MATCH(($B$4+A246),$I$11:$I$33,1))))))-(IF(($B$4+A246)&lt;=$L$11,$M$11,IF(($B$4+A246)&gt;=$L$12,$M$12,INDEX($M$11:$M$12,MATCH(($B$4+A246),$L$11:$L$12,1))+(INDEX($M$11:$M$12,MATCH(($B$4+A246),$L$11:$L$12,1)+1)-INDEX($M$11:$M$12,MATCH(($B$4+A246),$L$11:$L$12,1)))*(($B$4+A246)-INDEX($L$11:$L$12,MATCH(($B$4+A246),$L$11:$L$12,1)))/(INDEX($L$11:$L$12,MATCH(($B$4+A246),$L$11:$L$12,1)+1)-INDEX($L$11:$L$12,MATCH(($B$4+A246),$L$11:$L$12,1)))))))/(1-(IF(($B$4+A246)&lt;=$I$11,$J$11,IF(($B$4+A246)&gt;=$I$33,$J$33,INDEX($J$11:$J$33,MATCH(($B$4+A246),$I$11:$I$33,1))+(INDEX($J$11:$J$33,MATCH(($B$4+A246),$I$11:$I$33,1)+1)-INDEX($J$11:$J$33,MATCH(($B$4+A246),$I$11:$I$33,1)))*(($B$4+A246)-INDEX($I$11:$I$33,MATCH(($B$4+A246),$I$11:$I$33,1)))/(INDEX($I$11:$I$33,MATCH(($B$4+A246),$I$11:$I$33,1)+1)-INDEX($I$11:$I$33,MATCH(($B$4+A246),$I$11:$I$33,1))))))),1)</f>
        <v>1</v>
      </c>
      <c r="D246" s="43" t="n">
        <f aca="false">B246*(1+$B$30)^(-A246)</f>
        <v>0</v>
      </c>
      <c r="E246" s="43" t="n">
        <f aca="false">B246*C246*(1+$B$5)^(-A246)</f>
        <v>0</v>
      </c>
      <c r="G246" s="32" t="n">
        <f aca="false">$B$31+0.125+186*0.25</f>
        <v>109.065</v>
      </c>
      <c r="H246" s="27" t="n">
        <f aca="false">IF(G246&lt;$B$33,1,0)</f>
        <v>0</v>
      </c>
      <c r="I246" s="43" t="n">
        <f aca="false">H246*(1-$B$6)^(G246-$B$31)*(1+$B$30)^(-G246)</f>
        <v>0</v>
      </c>
      <c r="J246" s="43" t="n">
        <f aca="false">H246*(1-$B$6)^(G246-$B$31)*L246*(1+$B$5)^(-G246)</f>
        <v>0</v>
      </c>
      <c r="L246" s="43" t="n">
        <f aca="false">IF($B$7="Oui",1-(IF(($B$4+G246)&lt;=$L$11,$M$11,IF(($B$4+G246)&gt;=$L$12,$M$12,INDEX($M$11:$M$12,MATCH(($B$4+G246),$L$11:$L$12,1))+(INDEX($M$11:$M$12,MATCH(($B$4+G246),$L$11:$L$12,1)+1)-INDEX($M$11:$M$12,MATCH(($B$4+G246),$L$11:$L$12,1)))*(($B$4+G246)-INDEX($L$11:$L$12,MATCH(($B$4+G246),$L$11:$L$12,1)))/(INDEX($L$11:$L$12,MATCH(($B$4+G246),$L$11:$L$12,1)+1)-INDEX($L$11:$L$12,MATCH(($B$4+G246),$L$11:$L$12,1)))))),1)</f>
        <v>1</v>
      </c>
    </row>
    <row r="247" customFormat="false" ht="15" hidden="false" customHeight="false" outlineLevel="0" collapsed="false">
      <c r="A247" s="32" t="n">
        <f aca="false">$B$32+0.125+187*0.25</f>
        <v>69.985</v>
      </c>
      <c r="B247" s="27" t="n">
        <f aca="false">IF(A247&lt;$B$31,1,0)</f>
        <v>0</v>
      </c>
      <c r="C247" s="43" t="n">
        <f aca="false">IF($B$7="Oui",1+((IF(($B$4+A247)&lt;=$I$11,$J$11,IF(($B$4+A247)&gt;=$I$33,$J$33,INDEX($J$11:$J$33,MATCH(($B$4+A247),$I$11:$I$33,1))+(INDEX($J$11:$J$33,MATCH(($B$4+A247),$I$11:$I$33,1)+1)-INDEX($J$11:$J$33,MATCH(($B$4+A247),$I$11:$I$33,1)))*(($B$4+A247)-INDEX($I$11:$I$33,MATCH(($B$4+A247),$I$11:$I$33,1)))/(INDEX($I$11:$I$33,MATCH(($B$4+A247),$I$11:$I$33,1)+1)-INDEX($I$11:$I$33,MATCH(($B$4+A247),$I$11:$I$33,1))))))-(IF(($B$4+A247)&lt;=$L$11,$M$11,IF(($B$4+A247)&gt;=$L$12,$M$12,INDEX($M$11:$M$12,MATCH(($B$4+A247),$L$11:$L$12,1))+(INDEX($M$11:$M$12,MATCH(($B$4+A247),$L$11:$L$12,1)+1)-INDEX($M$11:$M$12,MATCH(($B$4+A247),$L$11:$L$12,1)))*(($B$4+A247)-INDEX($L$11:$L$12,MATCH(($B$4+A247),$L$11:$L$12,1)))/(INDEX($L$11:$L$12,MATCH(($B$4+A247),$L$11:$L$12,1)+1)-INDEX($L$11:$L$12,MATCH(($B$4+A247),$L$11:$L$12,1)))))))/(1-(IF(($B$4+A247)&lt;=$I$11,$J$11,IF(($B$4+A247)&gt;=$I$33,$J$33,INDEX($J$11:$J$33,MATCH(($B$4+A247),$I$11:$I$33,1))+(INDEX($J$11:$J$33,MATCH(($B$4+A247),$I$11:$I$33,1)+1)-INDEX($J$11:$J$33,MATCH(($B$4+A247),$I$11:$I$33,1)))*(($B$4+A247)-INDEX($I$11:$I$33,MATCH(($B$4+A247),$I$11:$I$33,1)))/(INDEX($I$11:$I$33,MATCH(($B$4+A247),$I$11:$I$33,1)+1)-INDEX($I$11:$I$33,MATCH(($B$4+A247),$I$11:$I$33,1))))))),1)</f>
        <v>1</v>
      </c>
      <c r="D247" s="43" t="n">
        <f aca="false">B247*(1+$B$30)^(-A247)</f>
        <v>0</v>
      </c>
      <c r="E247" s="43" t="n">
        <f aca="false">B247*C247*(1+$B$5)^(-A247)</f>
        <v>0</v>
      </c>
      <c r="G247" s="32" t="n">
        <f aca="false">$B$31+0.125+187*0.25</f>
        <v>109.315</v>
      </c>
      <c r="H247" s="27" t="n">
        <f aca="false">IF(G247&lt;$B$33,1,0)</f>
        <v>0</v>
      </c>
      <c r="I247" s="43" t="n">
        <f aca="false">H247*(1-$B$6)^(G247-$B$31)*(1+$B$30)^(-G247)</f>
        <v>0</v>
      </c>
      <c r="J247" s="43" t="n">
        <f aca="false">H247*(1-$B$6)^(G247-$B$31)*L247*(1+$B$5)^(-G247)</f>
        <v>0</v>
      </c>
      <c r="L247" s="43" t="n">
        <f aca="false">IF($B$7="Oui",1-(IF(($B$4+G247)&lt;=$L$11,$M$11,IF(($B$4+G247)&gt;=$L$12,$M$12,INDEX($M$11:$M$12,MATCH(($B$4+G247),$L$11:$L$12,1))+(INDEX($M$11:$M$12,MATCH(($B$4+G247),$L$11:$L$12,1)+1)-INDEX($M$11:$M$12,MATCH(($B$4+G247),$L$11:$L$12,1)))*(($B$4+G247)-INDEX($L$11:$L$12,MATCH(($B$4+G247),$L$11:$L$12,1)))/(INDEX($L$11:$L$12,MATCH(($B$4+G247),$L$11:$L$12,1)+1)-INDEX($L$11:$L$12,MATCH(($B$4+G247),$L$11:$L$12,1)))))),1)</f>
        <v>1</v>
      </c>
    </row>
    <row r="248" customFormat="false" ht="15" hidden="false" customHeight="false" outlineLevel="0" collapsed="false">
      <c r="A248" s="32" t="n">
        <f aca="false">$B$32+0.125+188*0.25</f>
        <v>70.235</v>
      </c>
      <c r="B248" s="27" t="n">
        <f aca="false">IF(A248&lt;$B$31,1,0)</f>
        <v>0</v>
      </c>
      <c r="C248" s="43" t="n">
        <f aca="false">IF($B$7="Oui",1+((IF(($B$4+A248)&lt;=$I$11,$J$11,IF(($B$4+A248)&gt;=$I$33,$J$33,INDEX($J$11:$J$33,MATCH(($B$4+A248),$I$11:$I$33,1))+(INDEX($J$11:$J$33,MATCH(($B$4+A248),$I$11:$I$33,1)+1)-INDEX($J$11:$J$33,MATCH(($B$4+A248),$I$11:$I$33,1)))*(($B$4+A248)-INDEX($I$11:$I$33,MATCH(($B$4+A248),$I$11:$I$33,1)))/(INDEX($I$11:$I$33,MATCH(($B$4+A248),$I$11:$I$33,1)+1)-INDEX($I$11:$I$33,MATCH(($B$4+A248),$I$11:$I$33,1))))))-(IF(($B$4+A248)&lt;=$L$11,$M$11,IF(($B$4+A248)&gt;=$L$12,$M$12,INDEX($M$11:$M$12,MATCH(($B$4+A248),$L$11:$L$12,1))+(INDEX($M$11:$M$12,MATCH(($B$4+A248),$L$11:$L$12,1)+1)-INDEX($M$11:$M$12,MATCH(($B$4+A248),$L$11:$L$12,1)))*(($B$4+A248)-INDEX($L$11:$L$12,MATCH(($B$4+A248),$L$11:$L$12,1)))/(INDEX($L$11:$L$12,MATCH(($B$4+A248),$L$11:$L$12,1)+1)-INDEX($L$11:$L$12,MATCH(($B$4+A248),$L$11:$L$12,1)))))))/(1-(IF(($B$4+A248)&lt;=$I$11,$J$11,IF(($B$4+A248)&gt;=$I$33,$J$33,INDEX($J$11:$J$33,MATCH(($B$4+A248),$I$11:$I$33,1))+(INDEX($J$11:$J$33,MATCH(($B$4+A248),$I$11:$I$33,1)+1)-INDEX($J$11:$J$33,MATCH(($B$4+A248),$I$11:$I$33,1)))*(($B$4+A248)-INDEX($I$11:$I$33,MATCH(($B$4+A248),$I$11:$I$33,1)))/(INDEX($I$11:$I$33,MATCH(($B$4+A248),$I$11:$I$33,1)+1)-INDEX($I$11:$I$33,MATCH(($B$4+A248),$I$11:$I$33,1))))))),1)</f>
        <v>1</v>
      </c>
      <c r="D248" s="43" t="n">
        <f aca="false">B248*(1+$B$30)^(-A248)</f>
        <v>0</v>
      </c>
      <c r="E248" s="43" t="n">
        <f aca="false">B248*C248*(1+$B$5)^(-A248)</f>
        <v>0</v>
      </c>
      <c r="G248" s="32" t="n">
        <f aca="false">$B$31+0.125+188*0.25</f>
        <v>109.565</v>
      </c>
      <c r="H248" s="27" t="n">
        <f aca="false">IF(G248&lt;$B$33,1,0)</f>
        <v>0</v>
      </c>
      <c r="I248" s="43" t="n">
        <f aca="false">H248*(1-$B$6)^(G248-$B$31)*(1+$B$30)^(-G248)</f>
        <v>0</v>
      </c>
      <c r="J248" s="43" t="n">
        <f aca="false">H248*(1-$B$6)^(G248-$B$31)*L248*(1+$B$5)^(-G248)</f>
        <v>0</v>
      </c>
      <c r="L248" s="43" t="n">
        <f aca="false">IF($B$7="Oui",1-(IF(($B$4+G248)&lt;=$L$11,$M$11,IF(($B$4+G248)&gt;=$L$12,$M$12,INDEX($M$11:$M$12,MATCH(($B$4+G248),$L$11:$L$12,1))+(INDEX($M$11:$M$12,MATCH(($B$4+G248),$L$11:$L$12,1)+1)-INDEX($M$11:$M$12,MATCH(($B$4+G248),$L$11:$L$12,1)))*(($B$4+G248)-INDEX($L$11:$L$12,MATCH(($B$4+G248),$L$11:$L$12,1)))/(INDEX($L$11:$L$12,MATCH(($B$4+G248),$L$11:$L$12,1)+1)-INDEX($L$11:$L$12,MATCH(($B$4+G248),$L$11:$L$12,1)))))),1)</f>
        <v>1</v>
      </c>
    </row>
    <row r="249" customFormat="false" ht="15" hidden="false" customHeight="false" outlineLevel="0" collapsed="false">
      <c r="A249" s="32" t="n">
        <f aca="false">$B$32+0.125+189*0.25</f>
        <v>70.485</v>
      </c>
      <c r="B249" s="27" t="n">
        <f aca="false">IF(A249&lt;$B$31,1,0)</f>
        <v>0</v>
      </c>
      <c r="C249" s="43" t="n">
        <f aca="false">IF($B$7="Oui",1+((IF(($B$4+A249)&lt;=$I$11,$J$11,IF(($B$4+A249)&gt;=$I$33,$J$33,INDEX($J$11:$J$33,MATCH(($B$4+A249),$I$11:$I$33,1))+(INDEX($J$11:$J$33,MATCH(($B$4+A249),$I$11:$I$33,1)+1)-INDEX($J$11:$J$33,MATCH(($B$4+A249),$I$11:$I$33,1)))*(($B$4+A249)-INDEX($I$11:$I$33,MATCH(($B$4+A249),$I$11:$I$33,1)))/(INDEX($I$11:$I$33,MATCH(($B$4+A249),$I$11:$I$33,1)+1)-INDEX($I$11:$I$33,MATCH(($B$4+A249),$I$11:$I$33,1))))))-(IF(($B$4+A249)&lt;=$L$11,$M$11,IF(($B$4+A249)&gt;=$L$12,$M$12,INDEX($M$11:$M$12,MATCH(($B$4+A249),$L$11:$L$12,1))+(INDEX($M$11:$M$12,MATCH(($B$4+A249),$L$11:$L$12,1)+1)-INDEX($M$11:$M$12,MATCH(($B$4+A249),$L$11:$L$12,1)))*(($B$4+A249)-INDEX($L$11:$L$12,MATCH(($B$4+A249),$L$11:$L$12,1)))/(INDEX($L$11:$L$12,MATCH(($B$4+A249),$L$11:$L$12,1)+1)-INDEX($L$11:$L$12,MATCH(($B$4+A249),$L$11:$L$12,1)))))))/(1-(IF(($B$4+A249)&lt;=$I$11,$J$11,IF(($B$4+A249)&gt;=$I$33,$J$33,INDEX($J$11:$J$33,MATCH(($B$4+A249),$I$11:$I$33,1))+(INDEX($J$11:$J$33,MATCH(($B$4+A249),$I$11:$I$33,1)+1)-INDEX($J$11:$J$33,MATCH(($B$4+A249),$I$11:$I$33,1)))*(($B$4+A249)-INDEX($I$11:$I$33,MATCH(($B$4+A249),$I$11:$I$33,1)))/(INDEX($I$11:$I$33,MATCH(($B$4+A249),$I$11:$I$33,1)+1)-INDEX($I$11:$I$33,MATCH(($B$4+A249),$I$11:$I$33,1))))))),1)</f>
        <v>1</v>
      </c>
      <c r="D249" s="43" t="n">
        <f aca="false">B249*(1+$B$30)^(-A249)</f>
        <v>0</v>
      </c>
      <c r="E249" s="43" t="n">
        <f aca="false">B249*C249*(1+$B$5)^(-A249)</f>
        <v>0</v>
      </c>
      <c r="G249" s="32" t="n">
        <f aca="false">$B$31+0.125+189*0.25</f>
        <v>109.815</v>
      </c>
      <c r="H249" s="27" t="n">
        <f aca="false">IF(G249&lt;$B$33,1,0)</f>
        <v>0</v>
      </c>
      <c r="I249" s="43" t="n">
        <f aca="false">H249*(1-$B$6)^(G249-$B$31)*(1+$B$30)^(-G249)</f>
        <v>0</v>
      </c>
      <c r="J249" s="43" t="n">
        <f aca="false">H249*(1-$B$6)^(G249-$B$31)*L249*(1+$B$5)^(-G249)</f>
        <v>0</v>
      </c>
      <c r="L249" s="43" t="n">
        <f aca="false">IF($B$7="Oui",1-(IF(($B$4+G249)&lt;=$L$11,$M$11,IF(($B$4+G249)&gt;=$L$12,$M$12,INDEX($M$11:$M$12,MATCH(($B$4+G249),$L$11:$L$12,1))+(INDEX($M$11:$M$12,MATCH(($B$4+G249),$L$11:$L$12,1)+1)-INDEX($M$11:$M$12,MATCH(($B$4+G249),$L$11:$L$12,1)))*(($B$4+G249)-INDEX($L$11:$L$12,MATCH(($B$4+G249),$L$11:$L$12,1)))/(INDEX($L$11:$L$12,MATCH(($B$4+G249),$L$11:$L$12,1)+1)-INDEX($L$11:$L$12,MATCH(($B$4+G249),$L$11:$L$12,1)))))),1)</f>
        <v>1</v>
      </c>
    </row>
    <row r="250" customFormat="false" ht="15" hidden="false" customHeight="false" outlineLevel="0" collapsed="false">
      <c r="A250" s="32" t="n">
        <f aca="false">$B$32+0.125+190*0.25</f>
        <v>70.735</v>
      </c>
      <c r="B250" s="27" t="n">
        <f aca="false">IF(A250&lt;$B$31,1,0)</f>
        <v>0</v>
      </c>
      <c r="C250" s="43" t="n">
        <f aca="false">IF($B$7="Oui",1+((IF(($B$4+A250)&lt;=$I$11,$J$11,IF(($B$4+A250)&gt;=$I$33,$J$33,INDEX($J$11:$J$33,MATCH(($B$4+A250),$I$11:$I$33,1))+(INDEX($J$11:$J$33,MATCH(($B$4+A250),$I$11:$I$33,1)+1)-INDEX($J$11:$J$33,MATCH(($B$4+A250),$I$11:$I$33,1)))*(($B$4+A250)-INDEX($I$11:$I$33,MATCH(($B$4+A250),$I$11:$I$33,1)))/(INDEX($I$11:$I$33,MATCH(($B$4+A250),$I$11:$I$33,1)+1)-INDEX($I$11:$I$33,MATCH(($B$4+A250),$I$11:$I$33,1))))))-(IF(($B$4+A250)&lt;=$L$11,$M$11,IF(($B$4+A250)&gt;=$L$12,$M$12,INDEX($M$11:$M$12,MATCH(($B$4+A250),$L$11:$L$12,1))+(INDEX($M$11:$M$12,MATCH(($B$4+A250),$L$11:$L$12,1)+1)-INDEX($M$11:$M$12,MATCH(($B$4+A250),$L$11:$L$12,1)))*(($B$4+A250)-INDEX($L$11:$L$12,MATCH(($B$4+A250),$L$11:$L$12,1)))/(INDEX($L$11:$L$12,MATCH(($B$4+A250),$L$11:$L$12,1)+1)-INDEX($L$11:$L$12,MATCH(($B$4+A250),$L$11:$L$12,1)))))))/(1-(IF(($B$4+A250)&lt;=$I$11,$J$11,IF(($B$4+A250)&gt;=$I$33,$J$33,INDEX($J$11:$J$33,MATCH(($B$4+A250),$I$11:$I$33,1))+(INDEX($J$11:$J$33,MATCH(($B$4+A250),$I$11:$I$33,1)+1)-INDEX($J$11:$J$33,MATCH(($B$4+A250),$I$11:$I$33,1)))*(($B$4+A250)-INDEX($I$11:$I$33,MATCH(($B$4+A250),$I$11:$I$33,1)))/(INDEX($I$11:$I$33,MATCH(($B$4+A250),$I$11:$I$33,1)+1)-INDEX($I$11:$I$33,MATCH(($B$4+A250),$I$11:$I$33,1))))))),1)</f>
        <v>1</v>
      </c>
      <c r="D250" s="43" t="n">
        <f aca="false">B250*(1+$B$30)^(-A250)</f>
        <v>0</v>
      </c>
      <c r="E250" s="43" t="n">
        <f aca="false">B250*C250*(1+$B$5)^(-A250)</f>
        <v>0</v>
      </c>
      <c r="G250" s="32" t="n">
        <f aca="false">$B$31+0.125+190*0.25</f>
        <v>110.065</v>
      </c>
      <c r="H250" s="27" t="n">
        <f aca="false">IF(G250&lt;$B$33,1,0)</f>
        <v>0</v>
      </c>
      <c r="I250" s="43" t="n">
        <f aca="false">H250*(1-$B$6)^(G250-$B$31)*(1+$B$30)^(-G250)</f>
        <v>0</v>
      </c>
      <c r="J250" s="43" t="n">
        <f aca="false">H250*(1-$B$6)^(G250-$B$31)*L250*(1+$B$5)^(-G250)</f>
        <v>0</v>
      </c>
      <c r="L250" s="43" t="n">
        <f aca="false">IF($B$7="Oui",1-(IF(($B$4+G250)&lt;=$L$11,$M$11,IF(($B$4+G250)&gt;=$L$12,$M$12,INDEX($M$11:$M$12,MATCH(($B$4+G250),$L$11:$L$12,1))+(INDEX($M$11:$M$12,MATCH(($B$4+G250),$L$11:$L$12,1)+1)-INDEX($M$11:$M$12,MATCH(($B$4+G250),$L$11:$L$12,1)))*(($B$4+G250)-INDEX($L$11:$L$12,MATCH(($B$4+G250),$L$11:$L$12,1)))/(INDEX($L$11:$L$12,MATCH(($B$4+G250),$L$11:$L$12,1)+1)-INDEX($L$11:$L$12,MATCH(($B$4+G250),$L$11:$L$12,1)))))),1)</f>
        <v>1</v>
      </c>
    </row>
    <row r="251" customFormat="false" ht="15" hidden="false" customHeight="false" outlineLevel="0" collapsed="false">
      <c r="A251" s="32" t="n">
        <f aca="false">$B$32+0.125+191*0.25</f>
        <v>70.985</v>
      </c>
      <c r="B251" s="27" t="n">
        <f aca="false">IF(A251&lt;$B$31,1,0)</f>
        <v>0</v>
      </c>
      <c r="C251" s="43" t="n">
        <f aca="false">IF($B$7="Oui",1+((IF(($B$4+A251)&lt;=$I$11,$J$11,IF(($B$4+A251)&gt;=$I$33,$J$33,INDEX($J$11:$J$33,MATCH(($B$4+A251),$I$11:$I$33,1))+(INDEX($J$11:$J$33,MATCH(($B$4+A251),$I$11:$I$33,1)+1)-INDEX($J$11:$J$33,MATCH(($B$4+A251),$I$11:$I$33,1)))*(($B$4+A251)-INDEX($I$11:$I$33,MATCH(($B$4+A251),$I$11:$I$33,1)))/(INDEX($I$11:$I$33,MATCH(($B$4+A251),$I$11:$I$33,1)+1)-INDEX($I$11:$I$33,MATCH(($B$4+A251),$I$11:$I$33,1))))))-(IF(($B$4+A251)&lt;=$L$11,$M$11,IF(($B$4+A251)&gt;=$L$12,$M$12,INDEX($M$11:$M$12,MATCH(($B$4+A251),$L$11:$L$12,1))+(INDEX($M$11:$M$12,MATCH(($B$4+A251),$L$11:$L$12,1)+1)-INDEX($M$11:$M$12,MATCH(($B$4+A251),$L$11:$L$12,1)))*(($B$4+A251)-INDEX($L$11:$L$12,MATCH(($B$4+A251),$L$11:$L$12,1)))/(INDEX($L$11:$L$12,MATCH(($B$4+A251),$L$11:$L$12,1)+1)-INDEX($L$11:$L$12,MATCH(($B$4+A251),$L$11:$L$12,1)))))))/(1-(IF(($B$4+A251)&lt;=$I$11,$J$11,IF(($B$4+A251)&gt;=$I$33,$J$33,INDEX($J$11:$J$33,MATCH(($B$4+A251),$I$11:$I$33,1))+(INDEX($J$11:$J$33,MATCH(($B$4+A251),$I$11:$I$33,1)+1)-INDEX($J$11:$J$33,MATCH(($B$4+A251),$I$11:$I$33,1)))*(($B$4+A251)-INDEX($I$11:$I$33,MATCH(($B$4+A251),$I$11:$I$33,1)))/(INDEX($I$11:$I$33,MATCH(($B$4+A251),$I$11:$I$33,1)+1)-INDEX($I$11:$I$33,MATCH(($B$4+A251),$I$11:$I$33,1))))))),1)</f>
        <v>1</v>
      </c>
      <c r="D251" s="43" t="n">
        <f aca="false">B251*(1+$B$30)^(-A251)</f>
        <v>0</v>
      </c>
      <c r="E251" s="43" t="n">
        <f aca="false">B251*C251*(1+$B$5)^(-A251)</f>
        <v>0</v>
      </c>
      <c r="G251" s="32" t="n">
        <f aca="false">$B$31+0.125+191*0.25</f>
        <v>110.315</v>
      </c>
      <c r="H251" s="27" t="n">
        <f aca="false">IF(G251&lt;$B$33,1,0)</f>
        <v>0</v>
      </c>
      <c r="I251" s="43" t="n">
        <f aca="false">H251*(1-$B$6)^(G251-$B$31)*(1+$B$30)^(-G251)</f>
        <v>0</v>
      </c>
      <c r="J251" s="43" t="n">
        <f aca="false">H251*(1-$B$6)^(G251-$B$31)*L251*(1+$B$5)^(-G251)</f>
        <v>0</v>
      </c>
      <c r="L251" s="43" t="n">
        <f aca="false">IF($B$7="Oui",1-(IF(($B$4+G251)&lt;=$L$11,$M$11,IF(($B$4+G251)&gt;=$L$12,$M$12,INDEX($M$11:$M$12,MATCH(($B$4+G251),$L$11:$L$12,1))+(INDEX($M$11:$M$12,MATCH(($B$4+G251),$L$11:$L$12,1)+1)-INDEX($M$11:$M$12,MATCH(($B$4+G251),$L$11:$L$12,1)))*(($B$4+G251)-INDEX($L$11:$L$12,MATCH(($B$4+G251),$L$11:$L$12,1)))/(INDEX($L$11:$L$12,MATCH(($B$4+G251),$L$11:$L$12,1)+1)-INDEX($L$11:$L$12,MATCH(($B$4+G251),$L$11:$L$12,1)))))),1)</f>
        <v>1</v>
      </c>
    </row>
    <row r="252" customFormat="false" ht="15" hidden="false" customHeight="false" outlineLevel="0" collapsed="false">
      <c r="A252" s="32" t="n">
        <f aca="false">$B$32+0.125+192*0.25</f>
        <v>71.235</v>
      </c>
      <c r="B252" s="27" t="n">
        <f aca="false">IF(A252&lt;$B$31,1,0)</f>
        <v>0</v>
      </c>
      <c r="C252" s="43" t="n">
        <f aca="false">IF($B$7="Oui",1+((IF(($B$4+A252)&lt;=$I$11,$J$11,IF(($B$4+A252)&gt;=$I$33,$J$33,INDEX($J$11:$J$33,MATCH(($B$4+A252),$I$11:$I$33,1))+(INDEX($J$11:$J$33,MATCH(($B$4+A252),$I$11:$I$33,1)+1)-INDEX($J$11:$J$33,MATCH(($B$4+A252),$I$11:$I$33,1)))*(($B$4+A252)-INDEX($I$11:$I$33,MATCH(($B$4+A252),$I$11:$I$33,1)))/(INDEX($I$11:$I$33,MATCH(($B$4+A252),$I$11:$I$33,1)+1)-INDEX($I$11:$I$33,MATCH(($B$4+A252),$I$11:$I$33,1))))))-(IF(($B$4+A252)&lt;=$L$11,$M$11,IF(($B$4+A252)&gt;=$L$12,$M$12,INDEX($M$11:$M$12,MATCH(($B$4+A252),$L$11:$L$12,1))+(INDEX($M$11:$M$12,MATCH(($B$4+A252),$L$11:$L$12,1)+1)-INDEX($M$11:$M$12,MATCH(($B$4+A252),$L$11:$L$12,1)))*(($B$4+A252)-INDEX($L$11:$L$12,MATCH(($B$4+A252),$L$11:$L$12,1)))/(INDEX($L$11:$L$12,MATCH(($B$4+A252),$L$11:$L$12,1)+1)-INDEX($L$11:$L$12,MATCH(($B$4+A252),$L$11:$L$12,1)))))))/(1-(IF(($B$4+A252)&lt;=$I$11,$J$11,IF(($B$4+A252)&gt;=$I$33,$J$33,INDEX($J$11:$J$33,MATCH(($B$4+A252),$I$11:$I$33,1))+(INDEX($J$11:$J$33,MATCH(($B$4+A252),$I$11:$I$33,1)+1)-INDEX($J$11:$J$33,MATCH(($B$4+A252),$I$11:$I$33,1)))*(($B$4+A252)-INDEX($I$11:$I$33,MATCH(($B$4+A252),$I$11:$I$33,1)))/(INDEX($I$11:$I$33,MATCH(($B$4+A252),$I$11:$I$33,1)+1)-INDEX($I$11:$I$33,MATCH(($B$4+A252),$I$11:$I$33,1))))))),1)</f>
        <v>1</v>
      </c>
      <c r="D252" s="43" t="n">
        <f aca="false">B252*(1+$B$30)^(-A252)</f>
        <v>0</v>
      </c>
      <c r="E252" s="43" t="n">
        <f aca="false">B252*C252*(1+$B$5)^(-A252)</f>
        <v>0</v>
      </c>
      <c r="G252" s="32" t="n">
        <f aca="false">$B$31+0.125+192*0.25</f>
        <v>110.565</v>
      </c>
      <c r="H252" s="27" t="n">
        <f aca="false">IF(G252&lt;$B$33,1,0)</f>
        <v>0</v>
      </c>
      <c r="I252" s="43" t="n">
        <f aca="false">H252*(1-$B$6)^(G252-$B$31)*(1+$B$30)^(-G252)</f>
        <v>0</v>
      </c>
      <c r="J252" s="43" t="n">
        <f aca="false">H252*(1-$B$6)^(G252-$B$31)*L252*(1+$B$5)^(-G252)</f>
        <v>0</v>
      </c>
      <c r="L252" s="43" t="n">
        <f aca="false">IF($B$7="Oui",1-(IF(($B$4+G252)&lt;=$L$11,$M$11,IF(($B$4+G252)&gt;=$L$12,$M$12,INDEX($M$11:$M$12,MATCH(($B$4+G252),$L$11:$L$12,1))+(INDEX($M$11:$M$12,MATCH(($B$4+G252),$L$11:$L$12,1)+1)-INDEX($M$11:$M$12,MATCH(($B$4+G252),$L$11:$L$12,1)))*(($B$4+G252)-INDEX($L$11:$L$12,MATCH(($B$4+G252),$L$11:$L$12,1)))/(INDEX($L$11:$L$12,MATCH(($B$4+G252),$L$11:$L$12,1)+1)-INDEX($L$11:$L$12,MATCH(($B$4+G252),$L$11:$L$12,1)))))),1)</f>
        <v>1</v>
      </c>
    </row>
    <row r="253" customFormat="false" ht="15" hidden="false" customHeight="false" outlineLevel="0" collapsed="false">
      <c r="A253" s="32" t="n">
        <f aca="false">$B$32+0.125+193*0.25</f>
        <v>71.485</v>
      </c>
      <c r="B253" s="27" t="n">
        <f aca="false">IF(A253&lt;$B$31,1,0)</f>
        <v>0</v>
      </c>
      <c r="C253" s="43" t="n">
        <f aca="false">IF($B$7="Oui",1+((IF(($B$4+A253)&lt;=$I$11,$J$11,IF(($B$4+A253)&gt;=$I$33,$J$33,INDEX($J$11:$J$33,MATCH(($B$4+A253),$I$11:$I$33,1))+(INDEX($J$11:$J$33,MATCH(($B$4+A253),$I$11:$I$33,1)+1)-INDEX($J$11:$J$33,MATCH(($B$4+A253),$I$11:$I$33,1)))*(($B$4+A253)-INDEX($I$11:$I$33,MATCH(($B$4+A253),$I$11:$I$33,1)))/(INDEX($I$11:$I$33,MATCH(($B$4+A253),$I$11:$I$33,1)+1)-INDEX($I$11:$I$33,MATCH(($B$4+A253),$I$11:$I$33,1))))))-(IF(($B$4+A253)&lt;=$L$11,$M$11,IF(($B$4+A253)&gt;=$L$12,$M$12,INDEX($M$11:$M$12,MATCH(($B$4+A253),$L$11:$L$12,1))+(INDEX($M$11:$M$12,MATCH(($B$4+A253),$L$11:$L$12,1)+1)-INDEX($M$11:$M$12,MATCH(($B$4+A253),$L$11:$L$12,1)))*(($B$4+A253)-INDEX($L$11:$L$12,MATCH(($B$4+A253),$L$11:$L$12,1)))/(INDEX($L$11:$L$12,MATCH(($B$4+A253),$L$11:$L$12,1)+1)-INDEX($L$11:$L$12,MATCH(($B$4+A253),$L$11:$L$12,1)))))))/(1-(IF(($B$4+A253)&lt;=$I$11,$J$11,IF(($B$4+A253)&gt;=$I$33,$J$33,INDEX($J$11:$J$33,MATCH(($B$4+A253),$I$11:$I$33,1))+(INDEX($J$11:$J$33,MATCH(($B$4+A253),$I$11:$I$33,1)+1)-INDEX($J$11:$J$33,MATCH(($B$4+A253),$I$11:$I$33,1)))*(($B$4+A253)-INDEX($I$11:$I$33,MATCH(($B$4+A253),$I$11:$I$33,1)))/(INDEX($I$11:$I$33,MATCH(($B$4+A253),$I$11:$I$33,1)+1)-INDEX($I$11:$I$33,MATCH(($B$4+A253),$I$11:$I$33,1))))))),1)</f>
        <v>1</v>
      </c>
      <c r="D253" s="43" t="n">
        <f aca="false">B253*(1+$B$30)^(-A253)</f>
        <v>0</v>
      </c>
      <c r="E253" s="43" t="n">
        <f aca="false">B253*C253*(1+$B$5)^(-A253)</f>
        <v>0</v>
      </c>
      <c r="G253" s="32" t="n">
        <f aca="false">$B$31+0.125+193*0.25</f>
        <v>110.815</v>
      </c>
      <c r="H253" s="27" t="n">
        <f aca="false">IF(G253&lt;$B$33,1,0)</f>
        <v>0</v>
      </c>
      <c r="I253" s="43" t="n">
        <f aca="false">H253*(1-$B$6)^(G253-$B$31)*(1+$B$30)^(-G253)</f>
        <v>0</v>
      </c>
      <c r="J253" s="43" t="n">
        <f aca="false">H253*(1-$B$6)^(G253-$B$31)*L253*(1+$B$5)^(-G253)</f>
        <v>0</v>
      </c>
      <c r="L253" s="43" t="n">
        <f aca="false">IF($B$7="Oui",1-(IF(($B$4+G253)&lt;=$L$11,$M$11,IF(($B$4+G253)&gt;=$L$12,$M$12,INDEX($M$11:$M$12,MATCH(($B$4+G253),$L$11:$L$12,1))+(INDEX($M$11:$M$12,MATCH(($B$4+G253),$L$11:$L$12,1)+1)-INDEX($M$11:$M$12,MATCH(($B$4+G253),$L$11:$L$12,1)))*(($B$4+G253)-INDEX($L$11:$L$12,MATCH(($B$4+G253),$L$11:$L$12,1)))/(INDEX($L$11:$L$12,MATCH(($B$4+G253),$L$11:$L$12,1)+1)-INDEX($L$11:$L$12,MATCH(($B$4+G253),$L$11:$L$12,1)))))),1)</f>
        <v>1</v>
      </c>
    </row>
    <row r="254" customFormat="false" ht="15" hidden="false" customHeight="false" outlineLevel="0" collapsed="false">
      <c r="A254" s="32" t="n">
        <f aca="false">$B$32+0.125+194*0.25</f>
        <v>71.735</v>
      </c>
      <c r="B254" s="27" t="n">
        <f aca="false">IF(A254&lt;$B$31,1,0)</f>
        <v>0</v>
      </c>
      <c r="C254" s="43" t="n">
        <f aca="false">IF($B$7="Oui",1+((IF(($B$4+A254)&lt;=$I$11,$J$11,IF(($B$4+A254)&gt;=$I$33,$J$33,INDEX($J$11:$J$33,MATCH(($B$4+A254),$I$11:$I$33,1))+(INDEX($J$11:$J$33,MATCH(($B$4+A254),$I$11:$I$33,1)+1)-INDEX($J$11:$J$33,MATCH(($B$4+A254),$I$11:$I$33,1)))*(($B$4+A254)-INDEX($I$11:$I$33,MATCH(($B$4+A254),$I$11:$I$33,1)))/(INDEX($I$11:$I$33,MATCH(($B$4+A254),$I$11:$I$33,1)+1)-INDEX($I$11:$I$33,MATCH(($B$4+A254),$I$11:$I$33,1))))))-(IF(($B$4+A254)&lt;=$L$11,$M$11,IF(($B$4+A254)&gt;=$L$12,$M$12,INDEX($M$11:$M$12,MATCH(($B$4+A254),$L$11:$L$12,1))+(INDEX($M$11:$M$12,MATCH(($B$4+A254),$L$11:$L$12,1)+1)-INDEX($M$11:$M$12,MATCH(($B$4+A254),$L$11:$L$12,1)))*(($B$4+A254)-INDEX($L$11:$L$12,MATCH(($B$4+A254),$L$11:$L$12,1)))/(INDEX($L$11:$L$12,MATCH(($B$4+A254),$L$11:$L$12,1)+1)-INDEX($L$11:$L$12,MATCH(($B$4+A254),$L$11:$L$12,1)))))))/(1-(IF(($B$4+A254)&lt;=$I$11,$J$11,IF(($B$4+A254)&gt;=$I$33,$J$33,INDEX($J$11:$J$33,MATCH(($B$4+A254),$I$11:$I$33,1))+(INDEX($J$11:$J$33,MATCH(($B$4+A254),$I$11:$I$33,1)+1)-INDEX($J$11:$J$33,MATCH(($B$4+A254),$I$11:$I$33,1)))*(($B$4+A254)-INDEX($I$11:$I$33,MATCH(($B$4+A254),$I$11:$I$33,1)))/(INDEX($I$11:$I$33,MATCH(($B$4+A254),$I$11:$I$33,1)+1)-INDEX($I$11:$I$33,MATCH(($B$4+A254),$I$11:$I$33,1))))))),1)</f>
        <v>1</v>
      </c>
      <c r="D254" s="43" t="n">
        <f aca="false">B254*(1+$B$30)^(-A254)</f>
        <v>0</v>
      </c>
      <c r="E254" s="43" t="n">
        <f aca="false">B254*C254*(1+$B$5)^(-A254)</f>
        <v>0</v>
      </c>
      <c r="G254" s="32" t="n">
        <f aca="false">$B$31+0.125+194*0.25</f>
        <v>111.065</v>
      </c>
      <c r="H254" s="27" t="n">
        <f aca="false">IF(G254&lt;$B$33,1,0)</f>
        <v>0</v>
      </c>
      <c r="I254" s="43" t="n">
        <f aca="false">H254*(1-$B$6)^(G254-$B$31)*(1+$B$30)^(-G254)</f>
        <v>0</v>
      </c>
      <c r="J254" s="43" t="n">
        <f aca="false">H254*(1-$B$6)^(G254-$B$31)*L254*(1+$B$5)^(-G254)</f>
        <v>0</v>
      </c>
      <c r="L254" s="43" t="n">
        <f aca="false">IF($B$7="Oui",1-(IF(($B$4+G254)&lt;=$L$11,$M$11,IF(($B$4+G254)&gt;=$L$12,$M$12,INDEX($M$11:$M$12,MATCH(($B$4+G254),$L$11:$L$12,1))+(INDEX($M$11:$M$12,MATCH(($B$4+G254),$L$11:$L$12,1)+1)-INDEX($M$11:$M$12,MATCH(($B$4+G254),$L$11:$L$12,1)))*(($B$4+G254)-INDEX($L$11:$L$12,MATCH(($B$4+G254),$L$11:$L$12,1)))/(INDEX($L$11:$L$12,MATCH(($B$4+G254),$L$11:$L$12,1)+1)-INDEX($L$11:$L$12,MATCH(($B$4+G254),$L$11:$L$12,1)))))),1)</f>
        <v>1</v>
      </c>
    </row>
    <row r="255" customFormat="false" ht="15" hidden="false" customHeight="false" outlineLevel="0" collapsed="false">
      <c r="A255" s="32" t="n">
        <f aca="false">$B$32+0.125+195*0.25</f>
        <v>71.985</v>
      </c>
      <c r="B255" s="27" t="n">
        <f aca="false">IF(A255&lt;$B$31,1,0)</f>
        <v>0</v>
      </c>
      <c r="C255" s="43" t="n">
        <f aca="false">IF($B$7="Oui",1+((IF(($B$4+A255)&lt;=$I$11,$J$11,IF(($B$4+A255)&gt;=$I$33,$J$33,INDEX($J$11:$J$33,MATCH(($B$4+A255),$I$11:$I$33,1))+(INDEX($J$11:$J$33,MATCH(($B$4+A255),$I$11:$I$33,1)+1)-INDEX($J$11:$J$33,MATCH(($B$4+A255),$I$11:$I$33,1)))*(($B$4+A255)-INDEX($I$11:$I$33,MATCH(($B$4+A255),$I$11:$I$33,1)))/(INDEX($I$11:$I$33,MATCH(($B$4+A255),$I$11:$I$33,1)+1)-INDEX($I$11:$I$33,MATCH(($B$4+A255),$I$11:$I$33,1))))))-(IF(($B$4+A255)&lt;=$L$11,$M$11,IF(($B$4+A255)&gt;=$L$12,$M$12,INDEX($M$11:$M$12,MATCH(($B$4+A255),$L$11:$L$12,1))+(INDEX($M$11:$M$12,MATCH(($B$4+A255),$L$11:$L$12,1)+1)-INDEX($M$11:$M$12,MATCH(($B$4+A255),$L$11:$L$12,1)))*(($B$4+A255)-INDEX($L$11:$L$12,MATCH(($B$4+A255),$L$11:$L$12,1)))/(INDEX($L$11:$L$12,MATCH(($B$4+A255),$L$11:$L$12,1)+1)-INDEX($L$11:$L$12,MATCH(($B$4+A255),$L$11:$L$12,1)))))))/(1-(IF(($B$4+A255)&lt;=$I$11,$J$11,IF(($B$4+A255)&gt;=$I$33,$J$33,INDEX($J$11:$J$33,MATCH(($B$4+A255),$I$11:$I$33,1))+(INDEX($J$11:$J$33,MATCH(($B$4+A255),$I$11:$I$33,1)+1)-INDEX($J$11:$J$33,MATCH(($B$4+A255),$I$11:$I$33,1)))*(($B$4+A255)-INDEX($I$11:$I$33,MATCH(($B$4+A255),$I$11:$I$33,1)))/(INDEX($I$11:$I$33,MATCH(($B$4+A255),$I$11:$I$33,1)+1)-INDEX($I$11:$I$33,MATCH(($B$4+A255),$I$11:$I$33,1))))))),1)</f>
        <v>1</v>
      </c>
      <c r="D255" s="43" t="n">
        <f aca="false">B255*(1+$B$30)^(-A255)</f>
        <v>0</v>
      </c>
      <c r="E255" s="43" t="n">
        <f aca="false">B255*C255*(1+$B$5)^(-A255)</f>
        <v>0</v>
      </c>
      <c r="G255" s="32" t="n">
        <f aca="false">$B$31+0.125+195*0.25</f>
        <v>111.315</v>
      </c>
      <c r="H255" s="27" t="n">
        <f aca="false">IF(G255&lt;$B$33,1,0)</f>
        <v>0</v>
      </c>
      <c r="I255" s="43" t="n">
        <f aca="false">H255*(1-$B$6)^(G255-$B$31)*(1+$B$30)^(-G255)</f>
        <v>0</v>
      </c>
      <c r="J255" s="43" t="n">
        <f aca="false">H255*(1-$B$6)^(G255-$B$31)*L255*(1+$B$5)^(-G255)</f>
        <v>0</v>
      </c>
      <c r="L255" s="43" t="n">
        <f aca="false">IF($B$7="Oui",1-(IF(($B$4+G255)&lt;=$L$11,$M$11,IF(($B$4+G255)&gt;=$L$12,$M$12,INDEX($M$11:$M$12,MATCH(($B$4+G255),$L$11:$L$12,1))+(INDEX($M$11:$M$12,MATCH(($B$4+G255),$L$11:$L$12,1)+1)-INDEX($M$11:$M$12,MATCH(($B$4+G255),$L$11:$L$12,1)))*(($B$4+G255)-INDEX($L$11:$L$12,MATCH(($B$4+G255),$L$11:$L$12,1)))/(INDEX($L$11:$L$12,MATCH(($B$4+G255),$L$11:$L$12,1)+1)-INDEX($L$11:$L$12,MATCH(($B$4+G255),$L$11:$L$12,1)))))),1)</f>
        <v>1</v>
      </c>
    </row>
    <row r="256" customFormat="false" ht="15" hidden="false" customHeight="false" outlineLevel="0" collapsed="false">
      <c r="A256" s="32" t="n">
        <f aca="false">$B$32+0.125+196*0.25</f>
        <v>72.235</v>
      </c>
      <c r="B256" s="27" t="n">
        <f aca="false">IF(A256&lt;$B$31,1,0)</f>
        <v>0</v>
      </c>
      <c r="C256" s="43" t="n">
        <f aca="false">IF($B$7="Oui",1+((IF(($B$4+A256)&lt;=$I$11,$J$11,IF(($B$4+A256)&gt;=$I$33,$J$33,INDEX($J$11:$J$33,MATCH(($B$4+A256),$I$11:$I$33,1))+(INDEX($J$11:$J$33,MATCH(($B$4+A256),$I$11:$I$33,1)+1)-INDEX($J$11:$J$33,MATCH(($B$4+A256),$I$11:$I$33,1)))*(($B$4+A256)-INDEX($I$11:$I$33,MATCH(($B$4+A256),$I$11:$I$33,1)))/(INDEX($I$11:$I$33,MATCH(($B$4+A256),$I$11:$I$33,1)+1)-INDEX($I$11:$I$33,MATCH(($B$4+A256),$I$11:$I$33,1))))))-(IF(($B$4+A256)&lt;=$L$11,$M$11,IF(($B$4+A256)&gt;=$L$12,$M$12,INDEX($M$11:$M$12,MATCH(($B$4+A256),$L$11:$L$12,1))+(INDEX($M$11:$M$12,MATCH(($B$4+A256),$L$11:$L$12,1)+1)-INDEX($M$11:$M$12,MATCH(($B$4+A256),$L$11:$L$12,1)))*(($B$4+A256)-INDEX($L$11:$L$12,MATCH(($B$4+A256),$L$11:$L$12,1)))/(INDEX($L$11:$L$12,MATCH(($B$4+A256),$L$11:$L$12,1)+1)-INDEX($L$11:$L$12,MATCH(($B$4+A256),$L$11:$L$12,1)))))))/(1-(IF(($B$4+A256)&lt;=$I$11,$J$11,IF(($B$4+A256)&gt;=$I$33,$J$33,INDEX($J$11:$J$33,MATCH(($B$4+A256),$I$11:$I$33,1))+(INDEX($J$11:$J$33,MATCH(($B$4+A256),$I$11:$I$33,1)+1)-INDEX($J$11:$J$33,MATCH(($B$4+A256),$I$11:$I$33,1)))*(($B$4+A256)-INDEX($I$11:$I$33,MATCH(($B$4+A256),$I$11:$I$33,1)))/(INDEX($I$11:$I$33,MATCH(($B$4+A256),$I$11:$I$33,1)+1)-INDEX($I$11:$I$33,MATCH(($B$4+A256),$I$11:$I$33,1))))))),1)</f>
        <v>1</v>
      </c>
      <c r="D256" s="43" t="n">
        <f aca="false">B256*(1+$B$30)^(-A256)</f>
        <v>0</v>
      </c>
      <c r="E256" s="43" t="n">
        <f aca="false">B256*C256*(1+$B$5)^(-A256)</f>
        <v>0</v>
      </c>
      <c r="G256" s="32" t="n">
        <f aca="false">$B$31+0.125+196*0.25</f>
        <v>111.565</v>
      </c>
      <c r="H256" s="27" t="n">
        <f aca="false">IF(G256&lt;$B$33,1,0)</f>
        <v>0</v>
      </c>
      <c r="I256" s="43" t="n">
        <f aca="false">H256*(1-$B$6)^(G256-$B$31)*(1+$B$30)^(-G256)</f>
        <v>0</v>
      </c>
      <c r="J256" s="43" t="n">
        <f aca="false">H256*(1-$B$6)^(G256-$B$31)*L256*(1+$B$5)^(-G256)</f>
        <v>0</v>
      </c>
      <c r="L256" s="43" t="n">
        <f aca="false">IF($B$7="Oui",1-(IF(($B$4+G256)&lt;=$L$11,$M$11,IF(($B$4+G256)&gt;=$L$12,$M$12,INDEX($M$11:$M$12,MATCH(($B$4+G256),$L$11:$L$12,1))+(INDEX($M$11:$M$12,MATCH(($B$4+G256),$L$11:$L$12,1)+1)-INDEX($M$11:$M$12,MATCH(($B$4+G256),$L$11:$L$12,1)))*(($B$4+G256)-INDEX($L$11:$L$12,MATCH(($B$4+G256),$L$11:$L$12,1)))/(INDEX($L$11:$L$12,MATCH(($B$4+G256),$L$11:$L$12,1)+1)-INDEX($L$11:$L$12,MATCH(($B$4+G256),$L$11:$L$12,1)))))),1)</f>
        <v>1</v>
      </c>
    </row>
    <row r="257" customFormat="false" ht="15" hidden="false" customHeight="false" outlineLevel="0" collapsed="false">
      <c r="A257" s="32" t="n">
        <f aca="false">$B$32+0.125+197*0.25</f>
        <v>72.485</v>
      </c>
      <c r="B257" s="27" t="n">
        <f aca="false">IF(A257&lt;$B$31,1,0)</f>
        <v>0</v>
      </c>
      <c r="C257" s="43" t="n">
        <f aca="false">IF($B$7="Oui",1+((IF(($B$4+A257)&lt;=$I$11,$J$11,IF(($B$4+A257)&gt;=$I$33,$J$33,INDEX($J$11:$J$33,MATCH(($B$4+A257),$I$11:$I$33,1))+(INDEX($J$11:$J$33,MATCH(($B$4+A257),$I$11:$I$33,1)+1)-INDEX($J$11:$J$33,MATCH(($B$4+A257),$I$11:$I$33,1)))*(($B$4+A257)-INDEX($I$11:$I$33,MATCH(($B$4+A257),$I$11:$I$33,1)))/(INDEX($I$11:$I$33,MATCH(($B$4+A257),$I$11:$I$33,1)+1)-INDEX($I$11:$I$33,MATCH(($B$4+A257),$I$11:$I$33,1))))))-(IF(($B$4+A257)&lt;=$L$11,$M$11,IF(($B$4+A257)&gt;=$L$12,$M$12,INDEX($M$11:$M$12,MATCH(($B$4+A257),$L$11:$L$12,1))+(INDEX($M$11:$M$12,MATCH(($B$4+A257),$L$11:$L$12,1)+1)-INDEX($M$11:$M$12,MATCH(($B$4+A257),$L$11:$L$12,1)))*(($B$4+A257)-INDEX($L$11:$L$12,MATCH(($B$4+A257),$L$11:$L$12,1)))/(INDEX($L$11:$L$12,MATCH(($B$4+A257),$L$11:$L$12,1)+1)-INDEX($L$11:$L$12,MATCH(($B$4+A257),$L$11:$L$12,1)))))))/(1-(IF(($B$4+A257)&lt;=$I$11,$J$11,IF(($B$4+A257)&gt;=$I$33,$J$33,INDEX($J$11:$J$33,MATCH(($B$4+A257),$I$11:$I$33,1))+(INDEX($J$11:$J$33,MATCH(($B$4+A257),$I$11:$I$33,1)+1)-INDEX($J$11:$J$33,MATCH(($B$4+A257),$I$11:$I$33,1)))*(($B$4+A257)-INDEX($I$11:$I$33,MATCH(($B$4+A257),$I$11:$I$33,1)))/(INDEX($I$11:$I$33,MATCH(($B$4+A257),$I$11:$I$33,1)+1)-INDEX($I$11:$I$33,MATCH(($B$4+A257),$I$11:$I$33,1))))))),1)</f>
        <v>1</v>
      </c>
      <c r="D257" s="43" t="n">
        <f aca="false">B257*(1+$B$30)^(-A257)</f>
        <v>0</v>
      </c>
      <c r="E257" s="43" t="n">
        <f aca="false">B257*C257*(1+$B$5)^(-A257)</f>
        <v>0</v>
      </c>
      <c r="G257" s="32" t="n">
        <f aca="false">$B$31+0.125+197*0.25</f>
        <v>111.815</v>
      </c>
      <c r="H257" s="27" t="n">
        <f aca="false">IF(G257&lt;$B$33,1,0)</f>
        <v>0</v>
      </c>
      <c r="I257" s="43" t="n">
        <f aca="false">H257*(1-$B$6)^(G257-$B$31)*(1+$B$30)^(-G257)</f>
        <v>0</v>
      </c>
      <c r="J257" s="43" t="n">
        <f aca="false">H257*(1-$B$6)^(G257-$B$31)*L257*(1+$B$5)^(-G257)</f>
        <v>0</v>
      </c>
      <c r="L257" s="43" t="n">
        <f aca="false">IF($B$7="Oui",1-(IF(($B$4+G257)&lt;=$L$11,$M$11,IF(($B$4+G257)&gt;=$L$12,$M$12,INDEX($M$11:$M$12,MATCH(($B$4+G257),$L$11:$L$12,1))+(INDEX($M$11:$M$12,MATCH(($B$4+G257),$L$11:$L$12,1)+1)-INDEX($M$11:$M$12,MATCH(($B$4+G257),$L$11:$L$12,1)))*(($B$4+G257)-INDEX($L$11:$L$12,MATCH(($B$4+G257),$L$11:$L$12,1)))/(INDEX($L$11:$L$12,MATCH(($B$4+G257),$L$11:$L$12,1)+1)-INDEX($L$11:$L$12,MATCH(($B$4+G257),$L$11:$L$12,1)))))),1)</f>
        <v>1</v>
      </c>
    </row>
    <row r="258" customFormat="false" ht="15" hidden="false" customHeight="false" outlineLevel="0" collapsed="false">
      <c r="A258" s="32" t="n">
        <f aca="false">$B$32+0.125+198*0.25</f>
        <v>72.735</v>
      </c>
      <c r="B258" s="27" t="n">
        <f aca="false">IF(A258&lt;$B$31,1,0)</f>
        <v>0</v>
      </c>
      <c r="C258" s="43" t="n">
        <f aca="false">IF($B$7="Oui",1+((IF(($B$4+A258)&lt;=$I$11,$J$11,IF(($B$4+A258)&gt;=$I$33,$J$33,INDEX($J$11:$J$33,MATCH(($B$4+A258),$I$11:$I$33,1))+(INDEX($J$11:$J$33,MATCH(($B$4+A258),$I$11:$I$33,1)+1)-INDEX($J$11:$J$33,MATCH(($B$4+A258),$I$11:$I$33,1)))*(($B$4+A258)-INDEX($I$11:$I$33,MATCH(($B$4+A258),$I$11:$I$33,1)))/(INDEX($I$11:$I$33,MATCH(($B$4+A258),$I$11:$I$33,1)+1)-INDEX($I$11:$I$33,MATCH(($B$4+A258),$I$11:$I$33,1))))))-(IF(($B$4+A258)&lt;=$L$11,$M$11,IF(($B$4+A258)&gt;=$L$12,$M$12,INDEX($M$11:$M$12,MATCH(($B$4+A258),$L$11:$L$12,1))+(INDEX($M$11:$M$12,MATCH(($B$4+A258),$L$11:$L$12,1)+1)-INDEX($M$11:$M$12,MATCH(($B$4+A258),$L$11:$L$12,1)))*(($B$4+A258)-INDEX($L$11:$L$12,MATCH(($B$4+A258),$L$11:$L$12,1)))/(INDEX($L$11:$L$12,MATCH(($B$4+A258),$L$11:$L$12,1)+1)-INDEX($L$11:$L$12,MATCH(($B$4+A258),$L$11:$L$12,1)))))))/(1-(IF(($B$4+A258)&lt;=$I$11,$J$11,IF(($B$4+A258)&gt;=$I$33,$J$33,INDEX($J$11:$J$33,MATCH(($B$4+A258),$I$11:$I$33,1))+(INDEX($J$11:$J$33,MATCH(($B$4+A258),$I$11:$I$33,1)+1)-INDEX($J$11:$J$33,MATCH(($B$4+A258),$I$11:$I$33,1)))*(($B$4+A258)-INDEX($I$11:$I$33,MATCH(($B$4+A258),$I$11:$I$33,1)))/(INDEX($I$11:$I$33,MATCH(($B$4+A258),$I$11:$I$33,1)+1)-INDEX($I$11:$I$33,MATCH(($B$4+A258),$I$11:$I$33,1))))))),1)</f>
        <v>1</v>
      </c>
      <c r="D258" s="43" t="n">
        <f aca="false">B258*(1+$B$30)^(-A258)</f>
        <v>0</v>
      </c>
      <c r="E258" s="43" t="n">
        <f aca="false">B258*C258*(1+$B$5)^(-A258)</f>
        <v>0</v>
      </c>
      <c r="G258" s="32" t="n">
        <f aca="false">$B$31+0.125+198*0.25</f>
        <v>112.065</v>
      </c>
      <c r="H258" s="27" t="n">
        <f aca="false">IF(G258&lt;$B$33,1,0)</f>
        <v>0</v>
      </c>
      <c r="I258" s="43" t="n">
        <f aca="false">H258*(1-$B$6)^(G258-$B$31)*(1+$B$30)^(-G258)</f>
        <v>0</v>
      </c>
      <c r="J258" s="43" t="n">
        <f aca="false">H258*(1-$B$6)^(G258-$B$31)*L258*(1+$B$5)^(-G258)</f>
        <v>0</v>
      </c>
      <c r="L258" s="43" t="n">
        <f aca="false">IF($B$7="Oui",1-(IF(($B$4+G258)&lt;=$L$11,$M$11,IF(($B$4+G258)&gt;=$L$12,$M$12,INDEX($M$11:$M$12,MATCH(($B$4+G258),$L$11:$L$12,1))+(INDEX($M$11:$M$12,MATCH(($B$4+G258),$L$11:$L$12,1)+1)-INDEX($M$11:$M$12,MATCH(($B$4+G258),$L$11:$L$12,1)))*(($B$4+G258)-INDEX($L$11:$L$12,MATCH(($B$4+G258),$L$11:$L$12,1)))/(INDEX($L$11:$L$12,MATCH(($B$4+G258),$L$11:$L$12,1)+1)-INDEX($L$11:$L$12,MATCH(($B$4+G258),$L$11:$L$12,1)))))),1)</f>
        <v>1</v>
      </c>
    </row>
    <row r="259" customFormat="false" ht="15" hidden="false" customHeight="false" outlineLevel="0" collapsed="false">
      <c r="A259" s="32" t="n">
        <f aca="false">$B$32+0.125+199*0.25</f>
        <v>72.985</v>
      </c>
      <c r="B259" s="27" t="n">
        <f aca="false">IF(A259&lt;$B$31,1,0)</f>
        <v>0</v>
      </c>
      <c r="C259" s="43" t="n">
        <f aca="false">IF($B$7="Oui",1+((IF(($B$4+A259)&lt;=$I$11,$J$11,IF(($B$4+A259)&gt;=$I$33,$J$33,INDEX($J$11:$J$33,MATCH(($B$4+A259),$I$11:$I$33,1))+(INDEX($J$11:$J$33,MATCH(($B$4+A259),$I$11:$I$33,1)+1)-INDEX($J$11:$J$33,MATCH(($B$4+A259),$I$11:$I$33,1)))*(($B$4+A259)-INDEX($I$11:$I$33,MATCH(($B$4+A259),$I$11:$I$33,1)))/(INDEX($I$11:$I$33,MATCH(($B$4+A259),$I$11:$I$33,1)+1)-INDEX($I$11:$I$33,MATCH(($B$4+A259),$I$11:$I$33,1))))))-(IF(($B$4+A259)&lt;=$L$11,$M$11,IF(($B$4+A259)&gt;=$L$12,$M$12,INDEX($M$11:$M$12,MATCH(($B$4+A259),$L$11:$L$12,1))+(INDEX($M$11:$M$12,MATCH(($B$4+A259),$L$11:$L$12,1)+1)-INDEX($M$11:$M$12,MATCH(($B$4+A259),$L$11:$L$12,1)))*(($B$4+A259)-INDEX($L$11:$L$12,MATCH(($B$4+A259),$L$11:$L$12,1)))/(INDEX($L$11:$L$12,MATCH(($B$4+A259),$L$11:$L$12,1)+1)-INDEX($L$11:$L$12,MATCH(($B$4+A259),$L$11:$L$12,1)))))))/(1-(IF(($B$4+A259)&lt;=$I$11,$J$11,IF(($B$4+A259)&gt;=$I$33,$J$33,INDEX($J$11:$J$33,MATCH(($B$4+A259),$I$11:$I$33,1))+(INDEX($J$11:$J$33,MATCH(($B$4+A259),$I$11:$I$33,1)+1)-INDEX($J$11:$J$33,MATCH(($B$4+A259),$I$11:$I$33,1)))*(($B$4+A259)-INDEX($I$11:$I$33,MATCH(($B$4+A259),$I$11:$I$33,1)))/(INDEX($I$11:$I$33,MATCH(($B$4+A259),$I$11:$I$33,1)+1)-INDEX($I$11:$I$33,MATCH(($B$4+A259),$I$11:$I$33,1))))))),1)</f>
        <v>1</v>
      </c>
      <c r="D259" s="43" t="n">
        <f aca="false">B259*(1+$B$30)^(-A259)</f>
        <v>0</v>
      </c>
      <c r="E259" s="43" t="n">
        <f aca="false">B259*C259*(1+$B$5)^(-A259)</f>
        <v>0</v>
      </c>
      <c r="G259" s="32" t="n">
        <f aca="false">$B$31+0.125+199*0.25</f>
        <v>112.315</v>
      </c>
      <c r="H259" s="27" t="n">
        <f aca="false">IF(G259&lt;$B$33,1,0)</f>
        <v>0</v>
      </c>
      <c r="I259" s="43" t="n">
        <f aca="false">H259*(1-$B$6)^(G259-$B$31)*(1+$B$30)^(-G259)</f>
        <v>0</v>
      </c>
      <c r="J259" s="43" t="n">
        <f aca="false">H259*(1-$B$6)^(G259-$B$31)*L259*(1+$B$5)^(-G259)</f>
        <v>0</v>
      </c>
      <c r="L259" s="43" t="n">
        <f aca="false">IF($B$7="Oui",1-(IF(($B$4+G259)&lt;=$L$11,$M$11,IF(($B$4+G259)&gt;=$L$12,$M$12,INDEX($M$11:$M$12,MATCH(($B$4+G259),$L$11:$L$12,1))+(INDEX($M$11:$M$12,MATCH(($B$4+G259),$L$11:$L$12,1)+1)-INDEX($M$11:$M$12,MATCH(($B$4+G259),$L$11:$L$12,1)))*(($B$4+G259)-INDEX($L$11:$L$12,MATCH(($B$4+G259),$L$11:$L$12,1)))/(INDEX($L$11:$L$12,MATCH(($B$4+G259),$L$11:$L$12,1)+1)-INDEX($L$11:$L$12,MATCH(($B$4+G259),$L$11:$L$12,1)))))),1)</f>
        <v>1</v>
      </c>
    </row>
  </sheetData>
  <dataValidations count="2">
    <dataValidation allowBlank="false" errorStyle="stop" operator="between" showDropDown="false" showErrorMessage="false" showInputMessage="false" sqref="B7" type="list">
      <formula1>"Oui,Non"</formula1>
      <formula2>0</formula2>
    </dataValidation>
    <dataValidation allowBlank="false" errorStyle="stop" operator="between" showDropDown="false" showErrorMessage="false" showInputMessage="false" sqref="B4" type="list">
      <formula1>"1940,1945,1950,1955,1960,1965,1970,1975,1980,1985,1990,1995,2000"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245</v>
      </c>
    </row>
    <row r="3" customFormat="false" ht="15" hidden="false" customHeight="false" outlineLevel="0" collapsed="false">
      <c r="A3" s="10" t="s">
        <v>246</v>
      </c>
      <c r="B3" s="10" t="s">
        <v>22</v>
      </c>
      <c r="C3" s="10" t="s">
        <v>247</v>
      </c>
    </row>
    <row r="4" customFormat="false" ht="15" hidden="false" customHeight="false" outlineLevel="0" collapsed="false">
      <c r="A4" s="4" t="s">
        <v>248</v>
      </c>
      <c r="B4" s="4" t="s">
        <v>61</v>
      </c>
      <c r="C4" s="51" t="s">
        <v>249</v>
      </c>
    </row>
    <row r="5" customFormat="false" ht="15" hidden="false" customHeight="false" outlineLevel="0" collapsed="false">
      <c r="A5" s="4" t="s">
        <v>250</v>
      </c>
      <c r="B5" s="4" t="s">
        <v>36</v>
      </c>
      <c r="C5" s="51" t="s">
        <v>251</v>
      </c>
    </row>
    <row r="6" customFormat="false" ht="15" hidden="false" customHeight="false" outlineLevel="0" collapsed="false">
      <c r="A6" s="4" t="s">
        <v>252</v>
      </c>
      <c r="B6" s="4" t="s">
        <v>34</v>
      </c>
      <c r="C6" s="51" t="s">
        <v>253</v>
      </c>
    </row>
    <row r="7" customFormat="false" ht="15" hidden="false" customHeight="false" outlineLevel="0" collapsed="false">
      <c r="A7" s="4" t="s">
        <v>254</v>
      </c>
      <c r="B7" s="4" t="s">
        <v>50</v>
      </c>
      <c r="C7" s="51" t="s">
        <v>255</v>
      </c>
    </row>
    <row r="8" customFormat="false" ht="15" hidden="false" customHeight="false" outlineLevel="0" collapsed="false">
      <c r="A8" s="4" t="s">
        <v>256</v>
      </c>
      <c r="B8" s="4" t="s">
        <v>257</v>
      </c>
      <c r="C8" s="51" t="s">
        <v>258</v>
      </c>
    </row>
    <row r="9" customFormat="false" ht="15" hidden="false" customHeight="false" outlineLevel="0" collapsed="false">
      <c r="A9" s="4" t="s">
        <v>211</v>
      </c>
      <c r="B9" s="4" t="s">
        <v>138</v>
      </c>
      <c r="C9" s="51" t="s">
        <v>259</v>
      </c>
    </row>
    <row r="10" customFormat="false" ht="15" hidden="false" customHeight="false" outlineLevel="0" collapsed="false">
      <c r="A10" s="4" t="s">
        <v>260</v>
      </c>
      <c r="B10" s="4" t="s">
        <v>261</v>
      </c>
      <c r="C10" s="51" t="s">
        <v>262</v>
      </c>
    </row>
    <row r="11" customFormat="false" ht="15" hidden="false" customHeight="false" outlineLevel="0" collapsed="false">
      <c r="A11" s="4" t="s">
        <v>263</v>
      </c>
      <c r="B11" s="4" t="s">
        <v>146</v>
      </c>
      <c r="C11" s="51" t="s">
        <v>264</v>
      </c>
    </row>
    <row r="12" customFormat="false" ht="15" hidden="false" customHeight="false" outlineLevel="0" collapsed="false">
      <c r="A12" s="4" t="s">
        <v>265</v>
      </c>
      <c r="B12" s="4" t="s">
        <v>156</v>
      </c>
      <c r="C12" s="51" t="s">
        <v>266</v>
      </c>
    </row>
    <row r="13" customFormat="false" ht="15" hidden="false" customHeight="false" outlineLevel="0" collapsed="false">
      <c r="A13" s="4" t="s">
        <v>267</v>
      </c>
      <c r="B13" s="4" t="s">
        <v>268</v>
      </c>
      <c r="C13" s="51" t="s">
        <v>269</v>
      </c>
    </row>
    <row r="14" customFormat="false" ht="23.85" hidden="false" customHeight="false" outlineLevel="0" collapsed="false">
      <c r="A14" s="4" t="s">
        <v>270</v>
      </c>
      <c r="B14" s="4" t="s">
        <v>56</v>
      </c>
    </row>
    <row r="15" customFormat="false" ht="15" hidden="false" customHeight="false" outlineLevel="0" collapsed="false">
      <c r="A15" s="4" t="s">
        <v>271</v>
      </c>
      <c r="B15" s="4" t="s">
        <v>272</v>
      </c>
      <c r="C15" s="51" t="s">
        <v>249</v>
      </c>
    </row>
    <row r="16" customFormat="false" ht="15" hidden="false" customHeight="false" outlineLevel="0" collapsed="false">
      <c r="A16" s="4" t="s">
        <v>273</v>
      </c>
      <c r="B16" s="4" t="s">
        <v>274</v>
      </c>
      <c r="C16" s="51" t="s">
        <v>275</v>
      </c>
    </row>
    <row r="17" customFormat="false" ht="23.85" hidden="false" customHeight="false" outlineLevel="0" collapsed="false">
      <c r="A17" s="4" t="s">
        <v>276</v>
      </c>
      <c r="B17" s="4" t="s">
        <v>277</v>
      </c>
      <c r="C17" s="51" t="s">
        <v>278</v>
      </c>
    </row>
  </sheetData>
  <hyperlinks>
    <hyperlink ref="C4" r:id="rId1" display="https://www.cor-retraites.fr/sites/default/files/2026-06/RA_2026_def.pdf"/>
    <hyperlink ref="C5" r:id="rId2" display="https://www.service-public.gouv.fr/particuliers/vosdroits/F2971"/>
    <hyperlink ref="C6" r:id="rId3" display="https://www.securite-sociale.fr/files/live/sites/SSFR/files/medias/CCSS/2026/CCSS%20mai%202026_assembl%C3%A9_V2.pdf"/>
    <hyperlink ref="C7" r:id="rId4" display="https://www.tresor.economie.gouv.fr/Articles/2025/09/25/analyse-de-la-composition-des-recettes-de-tva"/>
    <hyperlink ref="C8" r:id="rId5" display="https://data.drees.solidarites-sante.gouv.fr/explore/dataset/4178_distribution-des-pensions-mensuelles/information/"/>
    <hyperlink ref="C9" r:id="rId6" display="https://drees.solidarites-sante.gouv.fr/communique-de-presse-jeux-de-donnees/jeux-de-donnees/effectifs-de-retraites-et-montants-des"/>
    <hyperlink ref="C10" r:id="rId7" display="https://www.ipp.eu/wp-content/uploads/2026/07/Chapitre_Desindexation_retraite___Rapport_Perspectives_Budgetaires_2027-4.pdf"/>
    <hyperlink ref="C11" r:id="rId8" display="https://www.insee.fr/fr/statistiques/8719824"/>
    <hyperlink ref="C12" r:id="rId9" display="https://www.insee.fr/fr/statistiques/4764600"/>
    <hyperlink ref="C13" r:id="rId10" display="https://www.insee.fr/fr/statistiques/2415628"/>
    <hyperlink ref="C15" r:id="rId11" display="https://www.cor-retraites.fr/sites/default/files/2026-06/RA_2026_def.pdf"/>
    <hyperlink ref="C16" r:id="rId12" display="https://www.cor-retraites.fr/sites/default/files/2019-11/Doc_2_%C3%A9tat_financement_0.pdf"/>
    <hyperlink ref="C17" r:id="rId13" display="https://www.insee.fr/fr/statistiques/8574681?sommaire=857483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2026-10-01T07:56:39Z</dcterms:created>
  <dc:creator>openpyxl</dc:creator>
  <dc:description/>
  <dc:language>en-US</dc:language>
  <cp:lastModifiedBy/>
  <dcterms:modified xsi:type="dcterms:W3CDTF">2026-10-01T07:56:39Z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