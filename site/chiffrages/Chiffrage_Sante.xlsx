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Leviers" sheetId="2" state="visible" r:id="rId4"/>
    <sheet name="Effort" sheetId="3" state="visible" r:id="rId5"/>
    <sheet name="Bouclier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<sst xmlns="http://schemas.openxmlformats.org/spreadsheetml/2006/main" count="195" uniqueCount="164">
  <si>
    <t xml:space="preserve">Chiffrage de l'espace Santé</t>
  </si>
  <si>
    <t xml:space="preserve">La grande transmission : https://bonquentin-collab.github.io/Create-Website/</t>
  </si>
  <si>
    <t xml:space="preserve">Contenu</t>
  </si>
  <si>
    <t xml:space="preserve">Leviers : CSG des pensions au taux normal alignée sur les salaires, cotisation maladie sur les pensions de base, bouclier santé ; recettes, coût, effet sur le déficit de la branche maladie, perdants et gagnants.</t>
  </si>
  <si>
    <t xml:space="preserve">Effort : taux d'effort pour la santé par niveau de vie, actifs et retraités (Drees, ER 1345, tableau C), et ce qu'ajoutent la CSG et la cotisation choisies.</t>
  </si>
  <si>
    <t xml:space="preserve">Bouclier : groupes de ménages classés par taux d'effort en primes et restes à charge (Drees, encadré 3), découpage des tops, profil linéaire et coût du plafond choisi.</t>
  </si>
  <si>
    <t xml:space="preserve">Sources : références de chaque donnée.</t>
  </si>
  <si>
    <t xml:space="preserve">Vérification</t>
  </si>
  <si>
    <t xml:space="preserve">Avec les réglages par défaut du site, les résultats sont ceux du site. Le coût du bouclier est calculé ici en forme exacte (intégrale d'un profil linéaire) ; le site l'approche par 200 points par groupe : écart négligeable (voir la feuille Bouclier).</t>
  </si>
  <si>
    <t xml:space="preserve">Limites</t>
  </si>
  <si>
    <t xml:space="preserve">Coût du bouclier : revenus supposés égaux entre groupes, ce qui le majore probablement ; aucun effet de comportement. Part de chaque niveau de vie soumise à chaque taux de CSG : estimation du site d'après les seuils de CSG.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</si>
  <si>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</si>
  <si>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</si>
  <si>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</si>
  <si>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</si>
  <si>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</si>
  <si>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</si>
  <si>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Faire contribuer davantage les retraités qui le peuvent, protéger ceux pour qui la santé coûte le plus</t>
  </si>
  <si>
    <t xml:space="preserve">Aligner la CSG des pensions au taux normal sur celle des salaires</t>
  </si>
  <si>
    <t xml:space="preserve">Oui</t>
  </si>
  <si>
    <t xml:space="preserve">Cotisation maladie sur les pensions de base (retraités au taux médian ou normal)</t>
  </si>
  <si>
    <t xml:space="preserve">Créer un bouclier santé</t>
  </si>
  <si>
    <t xml:space="preserve">Plafond d'effort en primes et restes à charge (% du revenu)</t>
  </si>
  <si>
    <t xml:space="preserve">Votre pension brute mensuelle totale (€)</t>
  </si>
  <si>
    <t xml:space="preserve">Votre taux de CSG</t>
  </si>
  <si>
    <t xml:space="preserve">normal</t>
  </si>
  <si>
    <t xml:space="preserve">Paramètres</t>
  </si>
  <si>
    <t xml:space="preserve">Taux de CSG sur les revenus d'activité</t>
  </si>
  <si>
    <t xml:space="preserve">Code de la sécurité sociale, art. L136-8</t>
  </si>
  <si>
    <t xml:space="preserve">Taux normal de CSG sur les pensions</t>
  </si>
  <si>
    <t xml:space="preserve">Code de la sécurité sociale, art. L136-8 ; seuils 2025 : service-public.gouv.fr</t>
  </si>
  <si>
    <t xml:space="preserve">Assiette des pensions au taux normal (Md€)</t>
  </si>
  <si>
    <t xml:space="preserve">Estimation du site, calibrée sur les recettes de CSG 2025 (CCSS, mai 2026)</t>
  </si>
  <si>
    <t xml:space="preserve">Assiette des pensions au taux médian (Md€)</t>
  </si>
  <si>
    <t xml:space="preserve">Idem</t>
  </si>
  <si>
    <t xml:space="preserve">Part de la pension venant des régimes de base</t>
  </si>
  <si>
    <t xml:space="preserve">IPP, Perspectives budgétaires 2027, chapitre 3 : sous-indexation des retraites (Aubert, Tô, Tochev, 2026)</t>
  </si>
  <si>
    <t xml:space="preserve">Part des pensions dans le revenu des retraités</t>
  </si>
  <si>
    <t xml:space="preserve">COR, rapport annuel juin 2026, figure 3.8 : pensions 77,8 % du revenu des ménages retraités, revenus d'activité 84,1 % de celui des ménages actifs</t>
  </si>
  <si>
    <t xml:space="preserve">Retraités de droit direct</t>
  </si>
  <si>
    <t xml:space="preserve">Drees, effectifs de retraités fin 2024 (17,3 millions de retraités de droit direct, dont 16,4 en France)</t>
  </si>
  <si>
    <t xml:space="preserve">Part des retraités au taux normal</t>
  </si>
  <si>
    <t xml:space="preserve">CNAV, recueil statistique 2025, retraités du régime général fin 2024</t>
  </si>
  <si>
    <t xml:space="preserve">Part des retraités au taux médian</t>
  </si>
  <si>
    <t xml:space="preserve">Solde de la branche maladie du régime général, 2026 (Md€)</t>
  </si>
  <si>
    <t xml:space="preserve">Commission des comptes de la sécurité sociale, rapport de mai 2026</t>
  </si>
  <si>
    <t xml:space="preserve">Cotisation maladie existante sur les complémentaires</t>
  </si>
  <si>
    <t xml:space="preserve">Question écrite n° 161 à l'Assemblée nationale, 8 octobre 2024 ; service-public.gouv.fr (prélèvements sur les pensions)</t>
  </si>
  <si>
    <t xml:space="preserve">Résultats</t>
  </si>
  <si>
    <t xml:space="preserve">Recettes de la CSG alignée (Md€)</t>
  </si>
  <si>
    <t xml:space="preserve">Recettes de la cotisation maladie (Md€)</t>
  </si>
  <si>
    <t xml:space="preserve">Ce que les retraités versent en plus (Md€)</t>
  </si>
  <si>
    <t xml:space="preserve">Coût du bouclier (Md€)</t>
  </si>
  <si>
    <t xml:space="preserve">Effet net pour l'Assurance maladie (Md€)</t>
  </si>
  <si>
    <t xml:space="preserve">Part du déficit 2026 comblée</t>
  </si>
  <si>
    <t xml:space="preserve">Ménages protégés par le bouclier</t>
  </si>
  <si>
    <t xml:space="preserve">Part de l'aide pour des ménages de retraités</t>
  </si>
  <si>
    <t xml:space="preserve">… dont retraités modestes</t>
  </si>
  <si>
    <t xml:space="preserve">Retraités qui paient plus</t>
  </si>
  <si>
    <t xml:space="preserve">Solde pour les retraités : versé en plus, net de ce que le bouclier leur rend (Md€)</t>
  </si>
  <si>
    <t xml:space="preserve">Votre perte (€ brut par mois)</t>
  </si>
  <si>
    <t xml:space="preserve">Taux d'effort pour la santé, avant et après (en % du revenu)</t>
  </si>
  <si>
    <t xml:space="preserve">Drees, ER 1345, tableau complémentaire C (Ines-Omar 2019) ; ajout de la réforme : estimation du site.</t>
  </si>
  <si>
    <t xml:space="preserve">Niveau de vie</t>
  </si>
  <si>
    <t xml:space="preserve">Champ</t>
  </si>
  <si>
    <t xml:space="preserve">Sécurité sociale</t>
  </si>
  <si>
    <t xml:space="preserve">Primes</t>
  </si>
  <si>
    <t xml:space="preserve">Restes à charge</t>
  </si>
  <si>
    <t xml:space="preserve">Total avant</t>
  </si>
  <si>
    <t xml:space="preserve">Part exposée au taux normal</t>
  </si>
  <si>
    <t xml:space="preserve">Part exposée au taux médian ou normal</t>
  </si>
  <si>
    <t xml:space="preserve">Ajout de la réforme (points)</t>
  </si>
  <si>
    <t xml:space="preserve">Très modestes</t>
  </si>
  <si>
    <t xml:space="preserve">Actifs en emploi (moins de 60 % du niveau de vie médian)</t>
  </si>
  <si>
    <t xml:space="preserve">Retraités (moins de 60 % du niveau de vie médian)</t>
  </si>
  <si>
    <t xml:space="preserve">Plutôt modestes</t>
  </si>
  <si>
    <t xml:space="preserve">Actifs en emploi (60 à 90 %)</t>
  </si>
  <si>
    <t xml:space="preserve">Retraités (60 à 90 %)</t>
  </si>
  <si>
    <t xml:space="preserve">Médians</t>
  </si>
  <si>
    <t xml:space="preserve">Actifs en emploi (90 à 120 %)</t>
  </si>
  <si>
    <t xml:space="preserve">Retraités (90 à 120 %)</t>
  </si>
  <si>
    <t xml:space="preserve">Plutôt aisés</t>
  </si>
  <si>
    <t xml:space="preserve">Actifs en emploi (120 à 180 %)</t>
  </si>
  <si>
    <t xml:space="preserve">Retraités (120 à 180 %)</t>
  </si>
  <si>
    <t xml:space="preserve">Très aisés</t>
  </si>
  <si>
    <t xml:space="preserve">Actifs en emploi (plus de 180 %)</t>
  </si>
  <si>
    <t xml:space="preserve">Retraités (plus de 180 %)</t>
  </si>
  <si>
    <t xml:space="preserve">Actifs</t>
  </si>
  <si>
    <t xml:space="preserve">Retraités avant</t>
  </si>
  <si>
    <t xml:space="preserve">Retraités après</t>
  </si>
  <si>
    <t xml:space="preserve">Écart actifs − retraités avant</t>
  </si>
  <si>
    <t xml:space="preserve">Écart après</t>
  </si>
  <si>
    <t xml:space="preserve">Exposition : part de la pension brute des retraités de chaque niveau de vie touchée par chaque levier, estimée d'après les seuils de CSG 2025 (taux normal vers 2 400 € de pension brute pour une personne seule, taux médian vers 1 550 €).</t>
  </si>
  <si>
    <t xml:space="preserve">Bouclier santé : coût et bénéficiaires</t>
  </si>
  <si>
    <t xml:space="preserve">Primes de complémentaire et restes à charge en % du revenu disponible après financement de l'AMO, ménages classés selon ce taux (Drees, ER 1345, encadré 3 et tableau G, 2019).</t>
  </si>
  <si>
    <t xml:space="preserve">Données publiées</t>
  </si>
  <si>
    <t xml:space="preserve">Groupe</t>
  </si>
  <si>
    <t xml:space="preserve">Part des ménages</t>
  </si>
  <si>
    <t xml:space="preserve">Taux d'effort moyen (%)</t>
  </si>
  <si>
    <t xml:space="preserve">Retraités modestes (%)</t>
  </si>
  <si>
    <t xml:space="preserve">Retraités médians à aisés (%)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</si>
  <si>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</si>
  <si>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</si>
  <si>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</si>
  <si>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</si>
  <si>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</si>
  <si>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</si>
  <si>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</si>
  <si>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</si>
  <si>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</si>
  <si>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</si>
  <si>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Top 5 %</t>
  </si>
  <si>
    <t xml:space="preserve">Top 2 %</t>
  </si>
  <si>
    <t xml:space="preserve">Top 1 %</t>
  </si>
  <si>
    <t xml:space="preserve">Groupes disjoints et profil linéaire (bords choisis pour conserver la moyenne de chaque groupe)</t>
  </si>
  <si>
    <t xml:space="preserve">Part</t>
  </si>
  <si>
    <t xml:space="preserve">Effort moyen</t>
  </si>
  <si>
    <t xml:space="preserve">Retraités modestes</t>
  </si>
  <si>
    <t xml:space="preserve">Retraités médians à aisés</t>
  </si>
  <si>
    <t xml:space="preserve">Bord gauche</t>
  </si>
  <si>
    <t xml:space="preserve">Bord droit</t>
  </si>
  <si>
    <t xml:space="preserve">Bas</t>
  </si>
  <si>
    <t xml:space="preserve">Haut</t>
  </si>
  <si>
    <t xml:space="preserve">Effort au-delà du plafond</t>
  </si>
  <si>
    <t xml:space="preserve">Ménages bénéficiaires (part)</t>
  </si>
  <si>
    <t xml:space="preserve">90 à 95 %</t>
  </si>
  <si>
    <t xml:space="preserve">95 à 98 %</t>
  </si>
  <si>
    <t xml:space="preserve">98 à 99 %</t>
  </si>
  <si>
    <t xml:space="preserve">1 % le plus exposé</t>
  </si>
  <si>
    <t xml:space="preserve">Total</t>
  </si>
  <si>
    <t xml:space="preserve">Paramètres et résultats</t>
  </si>
  <si>
    <t xml:space="preserve">Taux d'effort moyen publié, ensemble (%)</t>
  </si>
  <si>
    <t xml:space="preserve">Drees, encadré 3</t>
  </si>
  <si>
    <t xml:space="preserve">Primes et restes à charge moyens par ménage, 2019 (€)</t>
  </si>
  <si>
    <t xml:space="preserve">Drees, tableau A : 1 021 € + 387 €</t>
  </si>
  <si>
    <t xml:space="preserve">Ménages (champ de l'enquête)</t>
  </si>
  <si>
    <t xml:space="preserve">Insee Première n° 1875, 2021 (champ de 63,4 millions de personnes) ; 2,2 personnes par ménage</t>
  </si>
  <si>
    <t xml:space="preserve">Évolution 2019 → 2024 des dépenses payées par les complémentaires et les ménages</t>
  </si>
  <si>
    <t xml:space="preserve">Drees, comptes de la santé : 44,3 Md€ en 2019, 52,5 Md€ en 2024</t>
  </si>
  <si>
    <t xml:space="preserve">Primes et restes à charge, 2024 (Md€)</t>
  </si>
  <si>
    <t xml:space="preserve">Bouclier : coût (Md€)</t>
  </si>
  <si>
    <t xml:space="preserve">Bouclier : ménages bénéficiaires</t>
  </si>
  <si>
    <t xml:space="preserve">Coût = (effort au-delà du plafond) ÷ (effort moyen) × dépense totale, en supposant des revenus égaux entre groupes (majorant probable : les ménages les plus exposés sont souvent modestes). Profil linéaire dans chaque groupe, intégré exactement ; le site l'approche par 200 points par groupe.</t>
  </si>
  <si>
    <t xml:space="preserve">Sources</t>
  </si>
  <si>
    <t xml:space="preserve">Donnée</t>
  </si>
  <si>
    <t xml:space="preserve">Source</t>
  </si>
  <si>
    <t xml:space="preserve">Lien</t>
  </si>
  <si>
    <t xml:space="preserve">Taux d'effort, bouclier</t>
  </si>
  <si>
    <t xml:space="preserve">Drees, Études et Résultats n° 1345, juillet 2025, encadré 3 et tableaux complémentaires A et G (Ines-Omar 2019)</t>
  </si>
  <si>
    <t xml:space="preserve">https://drees.solidarites-sante.gouv.fr/publications-communique-de-presse/250828_ER_depenses-de-sante</t>
  </si>
  <si>
    <t xml:space="preserve">Taux d'effort par niveau de vie</t>
  </si>
  <si>
    <t xml:space="preserve">Drees, Études et Résultats n° 1345, juillet 2025, tableau complémentaire C (modèle Ines-Omar 2019)</t>
  </si>
  <si>
    <t xml:space="preserve">Déficit de la branche maladie</t>
  </si>
  <si>
    <t xml:space="preserve">https://www.securite-sociale.fr/files/live/sites/SSFR/files/medias/CCSS/2026/CCSS%20mai%202026_assembl%C3%A9_V2.pdf</t>
  </si>
  <si>
    <t xml:space="preserve">Cotisation maladie sur les complémentaires</t>
  </si>
  <si>
    <t xml:space="preserve">https://questions.assemblee-nationale.fr/q17/17-161QE.htm</t>
  </si>
  <si>
    <t xml:space="preserve">Ménages</t>
  </si>
  <si>
    <t xml:space="preserve">Insee Première n° 1875, 2021 (champ de 63,4 millions de personnes)</t>
  </si>
  <si>
    <t xml:space="preserve">https://www.insee.fr/fr/statistiques/5431993</t>
  </si>
  <si>
    <t xml:space="preserve">CSG des retraités</t>
  </si>
  <si>
    <t xml:space="preserve">https://www.service-public.gouv.fr/particuliers/vosdroits/F2971</t>
  </si>
  <si>
    <t xml:space="preserve">Part des pensions de base</t>
  </si>
  <si>
    <t xml:space="preserve">https://www.ipp.eu/wp-content/uploads/2026/07/Chapitre_Desindexation_retraite___Rapport_Perspectives_Budgetaires_2027-4.pdf</t>
  </si>
  <si>
    <t xml:space="preserve">Composition des revenus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</si>
</sst>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-0.0%;\-"/>
    <numFmt numFmtId="166" formatCode="0.0"/>
    <numFmt numFmtId="167" formatCode="#,##0&quot; €&quot;;\-#,##0&quot; €&quot;;\-"/>
    <numFmt numFmtId="168" formatCode="#,##0.0;\-#,##0.0;\-"/>
    <numFmt numFmtId="169" formatCode="#,##0;\-#,##0;\-"/>
    <numFmt numFmtId="170" formatCode="#,##0.00&quot; Md€&quot;;\-#,##0.00&quot; Md€&quot;;\-"/>
    <numFmt numFmtId="171" formatCode="#,##0.00&quot; €&quot;;\-#,##0.00&quot; €&quot;;\-"/>
    <numFmt numFmtId="172" formatCode="0.00"/>
    <numFmt numFmtId="173" formatCode="0.0000"/>
    <numFmt numFmtId="174" formatCode="0.000"/>
    <numFmt numFmtId="175" formatCode="#,##0.0&quot; Md€&quot;;\-#,##0.0&quot; Md€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rees.solidarites-sante.gouv.fr/publications-communique-de-presse/250828_ER_depenses-de-sante" TargetMode="External"/><Relationship Id="rId2" Type="http://schemas.openxmlformats.org/officeDocument/2006/relationships/hyperlink" Target="https://drees.solidarites-sante.gouv.fr/publications-communique-de-presse/250828_ER_depenses-de-sante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questions.assemblee-nationale.fr/q17/17-161QE.htm" TargetMode="External"/><Relationship Id="rId5" Type="http://schemas.openxmlformats.org/officeDocument/2006/relationships/hyperlink" Target="https://www.insee.fr/fr/statistiques/5431993" TargetMode="External"/><Relationship Id="rId6" Type="http://schemas.openxmlformats.org/officeDocument/2006/relationships/hyperlink" Target="https://www.service-public.gouv.fr/particuliers/vosdroits/F2971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3" t="s">
        <v>7</v>
      </c>
    </row>
    <row r="10" customFormat="false" ht="23.8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4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5" t="s">
        <v>12</v>
      </c>
    </row>
    <row r="16" customFormat="false" ht="15" hidden="false" customHeight="false" outlineLevel="0" collapsed="false">
      <c r="A16" s="6" t="s">
        <v>13</v>
      </c>
    </row>
    <row r="17" customFormat="false" ht="15" hidden="false" customHeight="false" outlineLevel="0" collapsed="false">
      <c r="A17" s="7" t="s">
        <v>14</v>
      </c>
    </row>
    <row r="18" customFormat="false" ht="15" hidden="false" customHeight="false" outlineLevel="0" collapsed="false">
      <c r="A18" s="8" t="s">
        <v>15</v>
      </c>
    </row>
    <row r="19" customFormat="false" ht="15" hidden="false" customHeight="false" outlineLevel="0" collapsed="false">
      <c r="A19" s="9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17</v>
      </c>
    </row>
    <row r="4" customFormat="false" ht="15" hidden="false" customHeight="false" outlineLevel="0" collapsed="false">
      <c r="A4" s="4" t="s">
        <v>18</v>
      </c>
      <c r="B4" s="5" t="s">
        <v>19</v>
      </c>
    </row>
    <row r="5" customFormat="false" ht="15" hidden="false" customHeight="false" outlineLevel="0" collapsed="false">
      <c r="A5" s="4" t="s">
        <v>20</v>
      </c>
      <c r="B5" s="10" t="n">
        <v>0.01</v>
      </c>
    </row>
    <row r="6" customFormat="false" ht="15" hidden="false" customHeight="false" outlineLevel="0" collapsed="false">
      <c r="A6" s="4" t="s">
        <v>21</v>
      </c>
      <c r="B6" s="5" t="s">
        <v>19</v>
      </c>
    </row>
    <row r="7" customFormat="false" ht="15" hidden="false" customHeight="false" outlineLevel="0" collapsed="false">
      <c r="A7" s="4" t="s">
        <v>22</v>
      </c>
      <c r="B7" s="11" t="n">
        <v>10</v>
      </c>
    </row>
    <row r="8" customFormat="false" ht="15" hidden="false" customHeight="false" outlineLevel="0" collapsed="false">
      <c r="A8" s="4" t="s">
        <v>23</v>
      </c>
      <c r="B8" s="12" t="n">
        <v>2500</v>
      </c>
    </row>
    <row r="9" customFormat="false" ht="15" hidden="false" customHeight="false" outlineLevel="0" collapsed="false">
      <c r="A9" s="4" t="s">
        <v>24</v>
      </c>
      <c r="B9" s="5" t="s">
        <v>25</v>
      </c>
    </row>
    <row r="11" customFormat="false" ht="15" hidden="false" customHeight="false" outlineLevel="0" collapsed="false">
      <c r="A11" s="3" t="s">
        <v>26</v>
      </c>
    </row>
    <row r="12" customFormat="false" ht="15" hidden="false" customHeight="false" outlineLevel="0" collapsed="false">
      <c r="A12" s="4" t="s">
        <v>27</v>
      </c>
      <c r="B12" s="13" t="n">
        <v>0.092</v>
      </c>
      <c r="C12" s="4" t="s">
        <v>28</v>
      </c>
    </row>
    <row r="13" customFormat="false" ht="15" hidden="false" customHeight="false" outlineLevel="0" collapsed="false">
      <c r="A13" s="4" t="s">
        <v>29</v>
      </c>
      <c r="B13" s="13" t="n">
        <v>0.083</v>
      </c>
      <c r="C13" s="4" t="s">
        <v>30</v>
      </c>
    </row>
    <row r="14" customFormat="false" ht="15" hidden="false" customHeight="false" outlineLevel="0" collapsed="false">
      <c r="A14" s="4" t="s">
        <v>31</v>
      </c>
      <c r="B14" s="14" t="n">
        <v>225</v>
      </c>
      <c r="C14" s="4" t="s">
        <v>32</v>
      </c>
    </row>
    <row r="15" customFormat="false" ht="15" hidden="false" customHeight="false" outlineLevel="0" collapsed="false">
      <c r="A15" s="4" t="s">
        <v>33</v>
      </c>
      <c r="B15" s="14" t="n">
        <v>87</v>
      </c>
      <c r="C15" s="4" t="s">
        <v>34</v>
      </c>
    </row>
    <row r="16" customFormat="false" ht="15" hidden="false" customHeight="false" outlineLevel="0" collapsed="false">
      <c r="A16" s="4" t="s">
        <v>35</v>
      </c>
      <c r="B16" s="13" t="n">
        <v>0.67</v>
      </c>
      <c r="C16" s="4" t="s">
        <v>36</v>
      </c>
    </row>
    <row r="17" customFormat="false" ht="23.85" hidden="false" customHeight="false" outlineLevel="0" collapsed="false">
      <c r="A17" s="4" t="s">
        <v>37</v>
      </c>
      <c r="B17" s="13" t="n">
        <v>0.778</v>
      </c>
      <c r="C17" s="4" t="s">
        <v>38</v>
      </c>
    </row>
    <row r="18" customFormat="false" ht="15" hidden="false" customHeight="false" outlineLevel="0" collapsed="false">
      <c r="A18" s="4" t="s">
        <v>39</v>
      </c>
      <c r="B18" s="15" t="n">
        <v>17300000</v>
      </c>
      <c r="C18" s="4" t="s">
        <v>40</v>
      </c>
    </row>
    <row r="19" customFormat="false" ht="15" hidden="false" customHeight="false" outlineLevel="0" collapsed="false">
      <c r="A19" s="4" t="s">
        <v>41</v>
      </c>
      <c r="B19" s="13" t="n">
        <v>0.29</v>
      </c>
      <c r="C19" s="4" t="s">
        <v>42</v>
      </c>
    </row>
    <row r="20" customFormat="false" ht="15" hidden="false" customHeight="false" outlineLevel="0" collapsed="false">
      <c r="A20" s="4" t="s">
        <v>43</v>
      </c>
      <c r="B20" s="13" t="n">
        <v>0.27</v>
      </c>
      <c r="C20" s="4" t="s">
        <v>42</v>
      </c>
    </row>
    <row r="21" customFormat="false" ht="15" hidden="false" customHeight="false" outlineLevel="0" collapsed="false">
      <c r="A21" s="4" t="s">
        <v>44</v>
      </c>
      <c r="B21" s="14" t="n">
        <v>-13.8</v>
      </c>
      <c r="C21" s="4" t="s">
        <v>45</v>
      </c>
    </row>
    <row r="22" customFormat="false" ht="15" hidden="false" customHeight="false" outlineLevel="0" collapsed="false">
      <c r="A22" s="4" t="s">
        <v>46</v>
      </c>
      <c r="B22" s="13" t="n">
        <v>0.01</v>
      </c>
      <c r="C22" s="4" t="s">
        <v>47</v>
      </c>
    </row>
    <row r="24" customFormat="false" ht="15" hidden="false" customHeight="false" outlineLevel="0" collapsed="false">
      <c r="A24" s="3" t="s">
        <v>48</v>
      </c>
    </row>
    <row r="25" customFormat="false" ht="15" hidden="false" customHeight="false" outlineLevel="0" collapsed="false">
      <c r="A25" s="4" t="s">
        <v>49</v>
      </c>
      <c r="B25" s="16" t="n">
        <f aca="false">IF(Leviers!$B$4="Oui",Leviers!$B$14*(Leviers!$B$12-Leviers!$B$13),0)</f>
        <v>2.025</v>
      </c>
    </row>
    <row r="26" customFormat="false" ht="15" hidden="false" customHeight="false" outlineLevel="0" collapsed="false">
      <c r="A26" s="4" t="s">
        <v>50</v>
      </c>
      <c r="B26" s="16" t="n">
        <f aca="false">Leviers!$B$5*(Leviers!$B$15+Leviers!$B$14)*Leviers!$B$16</f>
        <v>2.0904</v>
      </c>
    </row>
    <row r="27" customFormat="false" ht="15" hidden="false" customHeight="false" outlineLevel="0" collapsed="false">
      <c r="A27" s="4" t="s">
        <v>51</v>
      </c>
      <c r="B27" s="17" t="n">
        <f aca="false">B25+B26</f>
        <v>4.1154</v>
      </c>
    </row>
    <row r="28" customFormat="false" ht="15" hidden="false" customHeight="false" outlineLevel="0" collapsed="false">
      <c r="A28" s="4" t="s">
        <v>52</v>
      </c>
      <c r="B28" s="18" t="n">
        <f aca="false">IF(Leviers!$B$6="Oui",Bouclier!$C$44,0)</f>
        <v>3.36503053059671</v>
      </c>
    </row>
    <row r="29" customFormat="false" ht="15" hidden="false" customHeight="false" outlineLevel="0" collapsed="false">
      <c r="A29" s="4" t="s">
        <v>53</v>
      </c>
      <c r="B29" s="17" t="n">
        <f aca="false">B27-B28</f>
        <v>0.750369469403287</v>
      </c>
    </row>
    <row r="30" customFormat="false" ht="15" hidden="false" customHeight="false" outlineLevel="0" collapsed="false">
      <c r="A30" s="4" t="s">
        <v>54</v>
      </c>
      <c r="B30" s="19" t="n">
        <f aca="false">IF(B29&gt;0,B29/ABS(Leviers!$B$21),0)</f>
        <v>0.0543745992321222</v>
      </c>
    </row>
    <row r="31" customFormat="false" ht="15" hidden="false" customHeight="false" outlineLevel="0" collapsed="false">
      <c r="A31" s="4" t="s">
        <v>55</v>
      </c>
      <c r="B31" s="20" t="n">
        <f aca="false">IF(Leviers!$B$6="Oui",Bouclier!$C$45,0)</f>
        <v>1942105.26315789</v>
      </c>
    </row>
    <row r="32" customFormat="false" ht="15" hidden="false" customHeight="false" outlineLevel="0" collapsed="false">
      <c r="A32" s="4" t="s">
        <v>56</v>
      </c>
      <c r="B32" s="21" t="n">
        <f aca="false">IF(Leviers!$B$6="Oui",Bouclier!$C$46,0)</f>
        <v>0.769728718167841</v>
      </c>
    </row>
    <row r="33" customFormat="false" ht="15" hidden="false" customHeight="false" outlineLevel="0" collapsed="false">
      <c r="A33" s="4" t="s">
        <v>57</v>
      </c>
      <c r="B33" s="21" t="n">
        <f aca="false">IF(Leviers!$B$6="Oui",Bouclier!$C$47,0)</f>
        <v>0.576721669350922</v>
      </c>
    </row>
    <row r="34" customFormat="false" ht="15" hidden="false" customHeight="false" outlineLevel="0" collapsed="false">
      <c r="A34" s="4" t="s">
        <v>58</v>
      </c>
      <c r="B34" s="22" t="n">
        <f aca="false">MAX(IF(Leviers!$B$4="Oui",Leviers!$B$19,0),IF(Leviers!$B$5&gt;0,Leviers!$B$19+Leviers!$B$20,0))*Leviers!$B$18</f>
        <v>9688000</v>
      </c>
    </row>
    <row r="35" customFormat="false" ht="15" hidden="false" customHeight="false" outlineLevel="0" collapsed="false">
      <c r="A35" s="4" t="s">
        <v>59</v>
      </c>
      <c r="B35" s="17" t="n">
        <f aca="false">B27-B28*B32</f>
        <v>1.52523936308814</v>
      </c>
    </row>
    <row r="36" customFormat="false" ht="15" hidden="false" customHeight="false" outlineLevel="0" collapsed="false">
      <c r="A36" s="4" t="s">
        <v>60</v>
      </c>
      <c r="B36" s="23" t="n">
        <f aca="false">Leviers!$B$8*(IF(AND(Leviers!$B$4="Oui",Leviers!$B$9="normal"),Leviers!$B$12-Leviers!$B$13,0)+IF(OR(Leviers!$B$9="median",Leviers!$B$9="normal"),Leviers!$B$5*Leviers!$B$16,0))</f>
        <v>39.25</v>
      </c>
    </row>
  </sheetData>
  <dataValidations count="3">
    <dataValidation allowBlank="false" errorStyle="stop" operator="between" showDropDown="false" showErrorMessage="false" showInputMessage="false" sqref="B4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5.05" hidden="false" customHeight="false" outlineLevel="0" collapsed="false">
      <c r="A4" s="24" t="s">
        <v>63</v>
      </c>
      <c r="B4" s="24" t="s">
        <v>64</v>
      </c>
      <c r="C4" s="24" t="s">
        <v>65</v>
      </c>
      <c r="D4" s="24" t="s">
        <v>66</v>
      </c>
      <c r="E4" s="24" t="s">
        <v>67</v>
      </c>
      <c r="F4" s="24" t="s">
        <v>68</v>
      </c>
      <c r="G4" s="24" t="s">
        <v>69</v>
      </c>
      <c r="H4" s="24" t="s">
        <v>70</v>
      </c>
      <c r="I4" s="24" t="s">
        <v>71</v>
      </c>
    </row>
    <row r="5" customFormat="false" ht="23.85" hidden="false" customHeight="false" outlineLevel="0" collapsed="false">
      <c r="A5" s="7" t="s">
        <v>72</v>
      </c>
      <c r="B5" s="4" t="s">
        <v>73</v>
      </c>
      <c r="C5" s="25" t="n">
        <v>11.42</v>
      </c>
      <c r="D5" s="25" t="n">
        <v>2.38</v>
      </c>
      <c r="E5" s="25" t="n">
        <v>1.53</v>
      </c>
      <c r="F5" s="26" t="n">
        <f aca="false">SUM(C5:E5)</f>
        <v>15.33</v>
      </c>
      <c r="I5" s="26" t="n">
        <f aca="false">0</f>
        <v>0</v>
      </c>
    </row>
    <row r="6" customFormat="false" ht="23.85" hidden="false" customHeight="false" outlineLevel="0" collapsed="false">
      <c r="A6" s="7" t="s">
        <v>72</v>
      </c>
      <c r="B6" s="4" t="s">
        <v>74</v>
      </c>
      <c r="C6" s="25" t="n">
        <v>6.32</v>
      </c>
      <c r="D6" s="25" t="n">
        <v>6</v>
      </c>
      <c r="E6" s="25" t="n">
        <v>1.94</v>
      </c>
      <c r="F6" s="26" t="n">
        <f aca="false">SUM(C6:E6)</f>
        <v>14.26</v>
      </c>
      <c r="G6" s="10" t="n">
        <v>0</v>
      </c>
      <c r="H6" s="10" t="n">
        <v>0</v>
      </c>
      <c r="I6" s="26" t="n">
        <f aca="false">100*Leviers!$B$17*(IF(Leviers!$B$4="Oui",Leviers!$B$12-Leviers!$B$13,0)*G6+Leviers!$B$5*Leviers!$B$16*H6)</f>
        <v>0</v>
      </c>
    </row>
    <row r="7" customFormat="false" ht="15" hidden="false" customHeight="false" outlineLevel="0" collapsed="false">
      <c r="A7" s="7" t="s">
        <v>75</v>
      </c>
      <c r="B7" s="4" t="s">
        <v>76</v>
      </c>
      <c r="C7" s="25" t="n">
        <v>12.59</v>
      </c>
      <c r="D7" s="25" t="n">
        <v>2.15</v>
      </c>
      <c r="E7" s="25" t="n">
        <v>0.92</v>
      </c>
      <c r="F7" s="26" t="n">
        <f aca="false">SUM(C7:E7)</f>
        <v>15.66</v>
      </c>
      <c r="I7" s="26" t="n">
        <f aca="false">0</f>
        <v>0</v>
      </c>
    </row>
    <row r="8" customFormat="false" ht="15" hidden="false" customHeight="false" outlineLevel="0" collapsed="false">
      <c r="A8" s="7" t="s">
        <v>75</v>
      </c>
      <c r="B8" s="4" t="s">
        <v>77</v>
      </c>
      <c r="C8" s="25" t="n">
        <v>6.13</v>
      </c>
      <c r="D8" s="25" t="n">
        <v>5.81</v>
      </c>
      <c r="E8" s="25" t="n">
        <v>1.63</v>
      </c>
      <c r="F8" s="26" t="n">
        <f aca="false">SUM(C8:E8)</f>
        <v>13.57</v>
      </c>
      <c r="G8" s="10" t="n">
        <v>0</v>
      </c>
      <c r="H8" s="10" t="n">
        <v>0.6</v>
      </c>
      <c r="I8" s="26" t="n">
        <f aca="false">100*Leviers!$B$17*(IF(Leviers!$B$4="Oui",Leviers!$B$12-Leviers!$B$13,0)*G8+Leviers!$B$5*Leviers!$B$16*H8)</f>
        <v>0.312756</v>
      </c>
    </row>
    <row r="9" customFormat="false" ht="15" hidden="false" customHeight="false" outlineLevel="0" collapsed="false">
      <c r="A9" s="7" t="s">
        <v>78</v>
      </c>
      <c r="B9" s="4" t="s">
        <v>79</v>
      </c>
      <c r="C9" s="25" t="n">
        <v>14.06</v>
      </c>
      <c r="D9" s="25" t="n">
        <v>1.79</v>
      </c>
      <c r="E9" s="25" t="n">
        <v>0.71</v>
      </c>
      <c r="F9" s="26" t="n">
        <f aca="false">SUM(C9:E9)</f>
        <v>16.56</v>
      </c>
      <c r="I9" s="26" t="n">
        <f aca="false">0</f>
        <v>0</v>
      </c>
    </row>
    <row r="10" customFormat="false" ht="15" hidden="false" customHeight="false" outlineLevel="0" collapsed="false">
      <c r="A10" s="7" t="s">
        <v>78</v>
      </c>
      <c r="B10" s="4" t="s">
        <v>80</v>
      </c>
      <c r="C10" s="25" t="n">
        <v>7.19</v>
      </c>
      <c r="D10" s="25" t="n">
        <v>4.53</v>
      </c>
      <c r="E10" s="25" t="n">
        <v>1.47</v>
      </c>
      <c r="F10" s="26" t="n">
        <f aca="false">SUM(C10:E10)</f>
        <v>13.19</v>
      </c>
      <c r="G10" s="10" t="n">
        <v>0.5</v>
      </c>
      <c r="H10" s="10" t="n">
        <v>1</v>
      </c>
      <c r="I10" s="26" t="n">
        <f aca="false">100*Leviers!$B$17*(IF(Leviers!$B$4="Oui",Leviers!$B$12-Leviers!$B$13,0)*G10+Leviers!$B$5*Leviers!$B$16*H10)</f>
        <v>0.87136</v>
      </c>
    </row>
    <row r="11" customFormat="false" ht="15" hidden="false" customHeight="false" outlineLevel="0" collapsed="false">
      <c r="A11" s="7" t="s">
        <v>81</v>
      </c>
      <c r="B11" s="4" t="s">
        <v>82</v>
      </c>
      <c r="C11" s="25" t="n">
        <v>15.41</v>
      </c>
      <c r="D11" s="25" t="n">
        <v>1.56</v>
      </c>
      <c r="E11" s="25" t="n">
        <v>0.57</v>
      </c>
      <c r="F11" s="26" t="n">
        <f aca="false">SUM(C11:E11)</f>
        <v>17.54</v>
      </c>
      <c r="I11" s="26" t="n">
        <f aca="false">0</f>
        <v>0</v>
      </c>
    </row>
    <row r="12" customFormat="false" ht="15" hidden="false" customHeight="false" outlineLevel="0" collapsed="false">
      <c r="A12" s="7" t="s">
        <v>81</v>
      </c>
      <c r="B12" s="4" t="s">
        <v>83</v>
      </c>
      <c r="C12" s="25" t="n">
        <v>8.18</v>
      </c>
      <c r="D12" s="25" t="n">
        <v>3.46</v>
      </c>
      <c r="E12" s="25" t="n">
        <v>1.49</v>
      </c>
      <c r="F12" s="26" t="n">
        <f aca="false">SUM(C12:E12)</f>
        <v>13.13</v>
      </c>
      <c r="G12" s="10" t="n">
        <v>1</v>
      </c>
      <c r="H12" s="10" t="n">
        <v>1</v>
      </c>
      <c r="I12" s="26" t="n">
        <f aca="false">100*Leviers!$B$17*(IF(Leviers!$B$4="Oui",Leviers!$B$12-Leviers!$B$13,0)*G12+Leviers!$B$5*Leviers!$B$16*H12)</f>
        <v>1.22146</v>
      </c>
    </row>
    <row r="13" customFormat="false" ht="15" hidden="false" customHeight="false" outlineLevel="0" collapsed="false">
      <c r="A13" s="7" t="s">
        <v>84</v>
      </c>
      <c r="B13" s="4" t="s">
        <v>85</v>
      </c>
      <c r="C13" s="25" t="n">
        <v>16.16</v>
      </c>
      <c r="D13" s="25" t="n">
        <v>1.13</v>
      </c>
      <c r="E13" s="25" t="n">
        <v>0.41</v>
      </c>
      <c r="F13" s="26" t="n">
        <f aca="false">SUM(C13:E13)</f>
        <v>17.7</v>
      </c>
      <c r="I13" s="26" t="n">
        <f aca="false">0</f>
        <v>0</v>
      </c>
    </row>
    <row r="14" customFormat="false" ht="15" hidden="false" customHeight="false" outlineLevel="0" collapsed="false">
      <c r="A14" s="7" t="s">
        <v>84</v>
      </c>
      <c r="B14" s="4" t="s">
        <v>86</v>
      </c>
      <c r="C14" s="25" t="n">
        <v>7.74</v>
      </c>
      <c r="D14" s="25" t="n">
        <v>2.37</v>
      </c>
      <c r="E14" s="25" t="n">
        <v>1.14</v>
      </c>
      <c r="F14" s="26" t="n">
        <f aca="false">SUM(C14:E14)</f>
        <v>11.25</v>
      </c>
      <c r="G14" s="10" t="n">
        <v>1</v>
      </c>
      <c r="H14" s="10" t="n">
        <v>1</v>
      </c>
      <c r="I14" s="26" t="n">
        <f aca="false">100*Leviers!$B$17*(IF(Leviers!$B$4="Oui",Leviers!$B$12-Leviers!$B$13,0)*G14+Leviers!$B$5*Leviers!$B$16*H14)</f>
        <v>1.22146</v>
      </c>
    </row>
    <row r="16" customFormat="false" ht="23.85" hidden="false" customHeight="false" outlineLevel="0" collapsed="false">
      <c r="A16" s="24" t="s">
        <v>63</v>
      </c>
      <c r="B16" s="24"/>
      <c r="C16" s="24" t="s">
        <v>87</v>
      </c>
      <c r="D16" s="24" t="s">
        <v>88</v>
      </c>
      <c r="E16" s="24" t="s">
        <v>89</v>
      </c>
      <c r="F16" s="24" t="s">
        <v>90</v>
      </c>
      <c r="G16" s="24" t="s">
        <v>91</v>
      </c>
    </row>
    <row r="17" customFormat="false" ht="15" hidden="false" customHeight="false" outlineLevel="0" collapsed="false">
      <c r="A17" s="7" t="s">
        <v>72</v>
      </c>
      <c r="C17" s="26" t="n">
        <f aca="false">F5</f>
        <v>15.33</v>
      </c>
      <c r="D17" s="26" t="n">
        <f aca="false">F6</f>
        <v>14.26</v>
      </c>
      <c r="E17" s="27" t="n">
        <f aca="false">F6+I6</f>
        <v>14.26</v>
      </c>
      <c r="F17" s="26" t="n">
        <f aca="false">C17-D17</f>
        <v>1.07</v>
      </c>
      <c r="G17" s="26" t="n">
        <f aca="false">C17-E17</f>
        <v>1.07</v>
      </c>
    </row>
    <row r="18" customFormat="false" ht="15" hidden="false" customHeight="false" outlineLevel="0" collapsed="false">
      <c r="A18" s="7" t="s">
        <v>75</v>
      </c>
      <c r="C18" s="26" t="n">
        <f aca="false">F7</f>
        <v>15.66</v>
      </c>
      <c r="D18" s="26" t="n">
        <f aca="false">F8</f>
        <v>13.57</v>
      </c>
      <c r="E18" s="27" t="n">
        <f aca="false">F8+I8</f>
        <v>13.882756</v>
      </c>
      <c r="F18" s="26" t="n">
        <f aca="false">C18-D18</f>
        <v>2.09</v>
      </c>
      <c r="G18" s="26" t="n">
        <f aca="false">C18-E18</f>
        <v>1.777244</v>
      </c>
    </row>
    <row r="19" customFormat="false" ht="15" hidden="false" customHeight="false" outlineLevel="0" collapsed="false">
      <c r="A19" s="7" t="s">
        <v>78</v>
      </c>
      <c r="C19" s="26" t="n">
        <f aca="false">F9</f>
        <v>16.56</v>
      </c>
      <c r="D19" s="26" t="n">
        <f aca="false">F10</f>
        <v>13.19</v>
      </c>
      <c r="E19" s="27" t="n">
        <f aca="false">F10+I10</f>
        <v>14.06136</v>
      </c>
      <c r="F19" s="26" t="n">
        <f aca="false">C19-D19</f>
        <v>3.37</v>
      </c>
      <c r="G19" s="26" t="n">
        <f aca="false">C19-E19</f>
        <v>2.49864</v>
      </c>
    </row>
    <row r="20" customFormat="false" ht="15" hidden="false" customHeight="false" outlineLevel="0" collapsed="false">
      <c r="A20" s="7" t="s">
        <v>81</v>
      </c>
      <c r="C20" s="26" t="n">
        <f aca="false">F11</f>
        <v>17.54</v>
      </c>
      <c r="D20" s="26" t="n">
        <f aca="false">F12</f>
        <v>13.13</v>
      </c>
      <c r="E20" s="27" t="n">
        <f aca="false">F12+I12</f>
        <v>14.35146</v>
      </c>
      <c r="F20" s="26" t="n">
        <f aca="false">C20-D20</f>
        <v>4.41</v>
      </c>
      <c r="G20" s="26" t="n">
        <f aca="false">C20-E20</f>
        <v>3.18854</v>
      </c>
    </row>
    <row r="21" customFormat="false" ht="15" hidden="false" customHeight="false" outlineLevel="0" collapsed="false">
      <c r="A21" s="7" t="s">
        <v>84</v>
      </c>
      <c r="C21" s="26" t="n">
        <f aca="false">F13</f>
        <v>17.7</v>
      </c>
      <c r="D21" s="26" t="n">
        <f aca="false">F14</f>
        <v>11.25</v>
      </c>
      <c r="E21" s="27" t="n">
        <f aca="false">F14+I14</f>
        <v>12.47146</v>
      </c>
      <c r="F21" s="26" t="n">
        <f aca="false">C21-D21</f>
        <v>6.45</v>
      </c>
      <c r="G21" s="26" t="n">
        <f aca="false">C21-E21</f>
        <v>5.22854</v>
      </c>
    </row>
    <row r="23" customFormat="false" ht="15" hidden="false" customHeight="false" outlineLevel="0" collapsed="false">
      <c r="A23" s="2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9" min="6" style="0" width="12"/>
    <col collapsed="false" customWidth="true" hidden="false" outlineLevel="0" max="13" min="10" style="0" width="14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3" t="s">
        <v>95</v>
      </c>
    </row>
    <row r="5" customFormat="false" ht="23.85" hidden="false" customHeight="false" outlineLevel="0" collapsed="false">
      <c r="A5" s="24" t="s">
        <v>96</v>
      </c>
      <c r="B5" s="24" t="s">
        <v>97</v>
      </c>
      <c r="C5" s="24" t="s">
        <v>98</v>
      </c>
      <c r="D5" s="24" t="s">
        <v>99</v>
      </c>
      <c r="E5" s="24" t="s">
        <v>100</v>
      </c>
    </row>
    <row r="6" customFormat="false" ht="15" hidden="false" customHeight="false" outlineLevel="0" collapsed="false">
      <c r="A6" s="7" t="s">
        <v>101</v>
      </c>
      <c r="B6" s="13" t="n">
        <v>0.1</v>
      </c>
      <c r="C6" s="25" t="n">
        <v>0.28</v>
      </c>
      <c r="D6" s="25" t="n">
        <v>9.02</v>
      </c>
      <c r="E6" s="25" t="n">
        <v>4.21</v>
      </c>
    </row>
    <row r="7" customFormat="false" ht="15" hidden="false" customHeight="false" outlineLevel="0" collapsed="false">
      <c r="A7" s="7" t="s">
        <v>102</v>
      </c>
      <c r="B7" s="13" t="n">
        <v>0.1</v>
      </c>
      <c r="C7" s="25" t="n">
        <v>1.21</v>
      </c>
      <c r="D7" s="25" t="n">
        <v>5.57</v>
      </c>
      <c r="E7" s="25" t="n">
        <v>4.37</v>
      </c>
    </row>
    <row r="8" customFormat="false" ht="15" hidden="false" customHeight="false" outlineLevel="0" collapsed="false">
      <c r="A8" s="7" t="s">
        <v>103</v>
      </c>
      <c r="B8" s="13" t="n">
        <v>0.1</v>
      </c>
      <c r="C8" s="25" t="n">
        <v>1.85</v>
      </c>
      <c r="D8" s="25" t="n">
        <v>3.15</v>
      </c>
      <c r="E8" s="25" t="n">
        <v>7.63</v>
      </c>
    </row>
    <row r="9" customFormat="false" ht="15" hidden="false" customHeight="false" outlineLevel="0" collapsed="false">
      <c r="A9" s="7" t="s">
        <v>104</v>
      </c>
      <c r="B9" s="13" t="n">
        <v>0.1</v>
      </c>
      <c r="C9" s="25" t="n">
        <v>2.46</v>
      </c>
      <c r="D9" s="25" t="n">
        <v>2.49</v>
      </c>
      <c r="E9" s="25" t="n">
        <v>12.68</v>
      </c>
    </row>
    <row r="10" customFormat="false" ht="15" hidden="false" customHeight="false" outlineLevel="0" collapsed="false">
      <c r="A10" s="7" t="s">
        <v>105</v>
      </c>
      <c r="B10" s="13" t="n">
        <v>0.1</v>
      </c>
      <c r="C10" s="25" t="n">
        <v>3.07</v>
      </c>
      <c r="D10" s="25" t="n">
        <v>3.39</v>
      </c>
      <c r="E10" s="25" t="n">
        <v>20.18</v>
      </c>
    </row>
    <row r="11" customFormat="false" ht="15" hidden="false" customHeight="false" outlineLevel="0" collapsed="false">
      <c r="A11" s="7" t="s">
        <v>106</v>
      </c>
      <c r="B11" s="13" t="n">
        <v>0.1</v>
      </c>
      <c r="C11" s="25" t="n">
        <v>3.75</v>
      </c>
      <c r="D11" s="25" t="n">
        <v>5.41</v>
      </c>
      <c r="E11" s="25" t="n">
        <v>27.75</v>
      </c>
    </row>
    <row r="12" customFormat="false" ht="15" hidden="false" customHeight="false" outlineLevel="0" collapsed="false">
      <c r="A12" s="7" t="s">
        <v>107</v>
      </c>
      <c r="B12" s="13" t="n">
        <v>0.1</v>
      </c>
      <c r="C12" s="25" t="n">
        <v>4.58</v>
      </c>
      <c r="D12" s="25" t="n">
        <v>9.84</v>
      </c>
      <c r="E12" s="25" t="n">
        <v>36.95</v>
      </c>
    </row>
    <row r="13" customFormat="false" ht="15" hidden="false" customHeight="false" outlineLevel="0" collapsed="false">
      <c r="A13" s="7" t="s">
        <v>108</v>
      </c>
      <c r="B13" s="13" t="n">
        <v>0.1</v>
      </c>
      <c r="C13" s="25" t="n">
        <v>5.68</v>
      </c>
      <c r="D13" s="25" t="n">
        <v>21.99</v>
      </c>
      <c r="E13" s="25" t="n">
        <v>42.03</v>
      </c>
    </row>
    <row r="14" customFormat="false" ht="15" hidden="false" customHeight="false" outlineLevel="0" collapsed="false">
      <c r="A14" s="7" t="s">
        <v>109</v>
      </c>
      <c r="B14" s="13" t="n">
        <v>0.1</v>
      </c>
      <c r="C14" s="25" t="n">
        <v>7.33</v>
      </c>
      <c r="D14" s="25" t="n">
        <v>36.04</v>
      </c>
      <c r="E14" s="25" t="n">
        <v>38.1</v>
      </c>
    </row>
    <row r="15" customFormat="false" ht="15" hidden="false" customHeight="false" outlineLevel="0" collapsed="false">
      <c r="A15" s="7" t="s">
        <v>110</v>
      </c>
      <c r="B15" s="13" t="n">
        <v>0.1</v>
      </c>
      <c r="C15" s="25" t="n">
        <v>12.68</v>
      </c>
      <c r="D15" s="25" t="n">
        <v>53.65</v>
      </c>
      <c r="E15" s="25" t="n">
        <v>26.84</v>
      </c>
    </row>
    <row r="16" customFormat="false" ht="15" hidden="false" customHeight="false" outlineLevel="0" collapsed="false">
      <c r="A16" s="7" t="s">
        <v>111</v>
      </c>
      <c r="B16" s="13" t="n">
        <v>0.05</v>
      </c>
      <c r="C16" s="25" t="n">
        <v>15.82</v>
      </c>
      <c r="D16" s="25" t="n">
        <v>56.21</v>
      </c>
      <c r="E16" s="25" t="n">
        <v>23.99</v>
      </c>
    </row>
    <row r="17" customFormat="false" ht="15" hidden="false" customHeight="false" outlineLevel="0" collapsed="false">
      <c r="A17" s="7" t="s">
        <v>112</v>
      </c>
      <c r="B17" s="13" t="n">
        <v>0.02</v>
      </c>
      <c r="C17" s="25" t="n">
        <v>21.2</v>
      </c>
      <c r="D17" s="25" t="n">
        <v>59.2</v>
      </c>
      <c r="E17" s="25" t="n">
        <v>18.28</v>
      </c>
    </row>
    <row r="18" customFormat="false" ht="15" hidden="false" customHeight="false" outlineLevel="0" collapsed="false">
      <c r="A18" s="7" t="s">
        <v>113</v>
      </c>
      <c r="B18" s="13" t="n">
        <v>0.01</v>
      </c>
      <c r="C18" s="25" t="n">
        <v>26.87</v>
      </c>
      <c r="D18" s="25" t="n">
        <v>58.76</v>
      </c>
      <c r="E18" s="25" t="n">
        <v>14.43</v>
      </c>
    </row>
    <row r="21" customFormat="false" ht="15" hidden="false" customHeight="false" outlineLevel="0" collapsed="false">
      <c r="A21" s="3" t="s">
        <v>114</v>
      </c>
    </row>
    <row r="22" customFormat="false" ht="23.85" hidden="false" customHeight="false" outlineLevel="0" collapsed="false">
      <c r="A22" s="24" t="s">
        <v>96</v>
      </c>
      <c r="B22" s="24" t="s">
        <v>115</v>
      </c>
      <c r="C22" s="24" t="s">
        <v>116</v>
      </c>
      <c r="D22" s="24" t="s">
        <v>117</v>
      </c>
      <c r="E22" s="24" t="s">
        <v>118</v>
      </c>
      <c r="F22" s="24" t="s">
        <v>119</v>
      </c>
      <c r="G22" s="24" t="s">
        <v>120</v>
      </c>
      <c r="H22" s="24" t="s">
        <v>121</v>
      </c>
      <c r="I22" s="24" t="s">
        <v>122</v>
      </c>
      <c r="J22" s="24" t="s">
        <v>123</v>
      </c>
      <c r="K22" s="24" t="s">
        <v>124</v>
      </c>
    </row>
    <row r="23" customFormat="false" ht="15" hidden="false" customHeight="false" outlineLevel="0" collapsed="false">
      <c r="A23" s="7" t="s">
        <v>101</v>
      </c>
      <c r="B23" s="19" t="n">
        <f aca="false">B6</f>
        <v>0.1</v>
      </c>
      <c r="C23" s="26" t="n">
        <f aca="false">C6</f>
        <v>0.28</v>
      </c>
      <c r="D23" s="19" t="n">
        <f aca="false">D6/100</f>
        <v>0.0902</v>
      </c>
      <c r="E23" s="19" t="n">
        <f aca="false">E6/100</f>
        <v>0.0421</v>
      </c>
      <c r="F23" s="26" t="n">
        <f aca="false">0</f>
        <v>0</v>
      </c>
      <c r="G23" s="26" t="n">
        <f aca="false">MAX(0,2*C23-F23)</f>
        <v>0.56</v>
      </c>
      <c r="H23" s="26" t="n">
        <f aca="false">MIN(F23,G23)</f>
        <v>0</v>
      </c>
      <c r="I23" s="26" t="n">
        <f aca="false">MAX(F23,G23)</f>
        <v>0.56</v>
      </c>
      <c r="J23" s="28" t="n">
        <f aca="false">IF(I23&lt;=Leviers!$B$7,0,IF(H23&gt;=Leviers!$B$7,B23*((F23+G23)/2-Leviers!$B$7),B23*(I23-Leviers!$B$7)/(I23-H23)*(I23-Leviers!$B$7)/2))</f>
        <v>0</v>
      </c>
      <c r="K23" s="28" t="n">
        <f aca="false">IF(I23&lt;=Leviers!$B$7,0,IF(H23&gt;=Leviers!$B$7,B23,B23*(I23-Leviers!$B$7)/(I23-H23)))</f>
        <v>0</v>
      </c>
    </row>
    <row r="24" customFormat="false" ht="15" hidden="false" customHeight="false" outlineLevel="0" collapsed="false">
      <c r="A24" s="7" t="s">
        <v>102</v>
      </c>
      <c r="B24" s="19" t="n">
        <f aca="false">B7</f>
        <v>0.1</v>
      </c>
      <c r="C24" s="26" t="n">
        <f aca="false">C7</f>
        <v>1.21</v>
      </c>
      <c r="D24" s="19" t="n">
        <f aca="false">D7/100</f>
        <v>0.0557</v>
      </c>
      <c r="E24" s="19" t="n">
        <f aca="false">E7/100</f>
        <v>0.0437</v>
      </c>
      <c r="F24" s="26" t="n">
        <f aca="false">G23</f>
        <v>0.56</v>
      </c>
      <c r="G24" s="26" t="n">
        <f aca="false">MAX(0,2*C24-F24)</f>
        <v>1.86</v>
      </c>
      <c r="H24" s="26" t="n">
        <f aca="false">MIN(F24,G24)</f>
        <v>0.56</v>
      </c>
      <c r="I24" s="26" t="n">
        <f aca="false">MAX(F24,G24)</f>
        <v>1.86</v>
      </c>
      <c r="J24" s="28" t="n">
        <f aca="false">IF(I24&lt;=Leviers!$B$7,0,IF(H24&gt;=Leviers!$B$7,B24*((F24+G24)/2-Leviers!$B$7),B24*(I24-Leviers!$B$7)/(I24-H24)*(I24-Leviers!$B$7)/2))</f>
        <v>0</v>
      </c>
      <c r="K24" s="28" t="n">
        <f aca="false">IF(I24&lt;=Leviers!$B$7,0,IF(H24&gt;=Leviers!$B$7,B24,B24*(I24-Leviers!$B$7)/(I24-H24)))</f>
        <v>0</v>
      </c>
    </row>
    <row r="25" customFormat="false" ht="15" hidden="false" customHeight="false" outlineLevel="0" collapsed="false">
      <c r="A25" s="7" t="s">
        <v>103</v>
      </c>
      <c r="B25" s="19" t="n">
        <f aca="false">B8</f>
        <v>0.1</v>
      </c>
      <c r="C25" s="26" t="n">
        <f aca="false">C8</f>
        <v>1.85</v>
      </c>
      <c r="D25" s="19" t="n">
        <f aca="false">D8/100</f>
        <v>0.0315</v>
      </c>
      <c r="E25" s="19" t="n">
        <f aca="false">E8/100</f>
        <v>0.0763</v>
      </c>
      <c r="F25" s="26" t="n">
        <f aca="false">G24</f>
        <v>1.86</v>
      </c>
      <c r="G25" s="26" t="n">
        <f aca="false">MAX(0,2*C25-F25)</f>
        <v>1.84</v>
      </c>
      <c r="H25" s="26" t="n">
        <f aca="false">MIN(F25,G25)</f>
        <v>1.84</v>
      </c>
      <c r="I25" s="26" t="n">
        <f aca="false">MAX(F25,G25)</f>
        <v>1.86</v>
      </c>
      <c r="J25" s="28" t="n">
        <f aca="false">IF(I25&lt;=Leviers!$B$7,0,IF(H25&gt;=Leviers!$B$7,B25*((F25+G25)/2-Leviers!$B$7),B25*(I25-Leviers!$B$7)/(I25-H25)*(I25-Leviers!$B$7)/2))</f>
        <v>0</v>
      </c>
      <c r="K25" s="28" t="n">
        <f aca="false">IF(I25&lt;=Leviers!$B$7,0,IF(H25&gt;=Leviers!$B$7,B25,B25*(I25-Leviers!$B$7)/(I25-H25)))</f>
        <v>0</v>
      </c>
    </row>
    <row r="26" customFormat="false" ht="15" hidden="false" customHeight="false" outlineLevel="0" collapsed="false">
      <c r="A26" s="7" t="s">
        <v>104</v>
      </c>
      <c r="B26" s="19" t="n">
        <f aca="false">B9</f>
        <v>0.1</v>
      </c>
      <c r="C26" s="26" t="n">
        <f aca="false">C9</f>
        <v>2.46</v>
      </c>
      <c r="D26" s="19" t="n">
        <f aca="false">D9/100</f>
        <v>0.0249</v>
      </c>
      <c r="E26" s="19" t="n">
        <f aca="false">E9/100</f>
        <v>0.1268</v>
      </c>
      <c r="F26" s="26" t="n">
        <f aca="false">G25</f>
        <v>1.84</v>
      </c>
      <c r="G26" s="26" t="n">
        <f aca="false">MAX(0,2*C26-F26)</f>
        <v>3.08</v>
      </c>
      <c r="H26" s="26" t="n">
        <f aca="false">MIN(F26,G26)</f>
        <v>1.84</v>
      </c>
      <c r="I26" s="26" t="n">
        <f aca="false">MAX(F26,G26)</f>
        <v>3.08</v>
      </c>
      <c r="J26" s="28" t="n">
        <f aca="false">IF(I26&lt;=Leviers!$B$7,0,IF(H26&gt;=Leviers!$B$7,B26*((F26+G26)/2-Leviers!$B$7),B26*(I26-Leviers!$B$7)/(I26-H26)*(I26-Leviers!$B$7)/2))</f>
        <v>0</v>
      </c>
      <c r="K26" s="28" t="n">
        <f aca="false">IF(I26&lt;=Leviers!$B$7,0,IF(H26&gt;=Leviers!$B$7,B26,B26*(I26-Leviers!$B$7)/(I26-H26)))</f>
        <v>0</v>
      </c>
    </row>
    <row r="27" customFormat="false" ht="15" hidden="false" customHeight="false" outlineLevel="0" collapsed="false">
      <c r="A27" s="7" t="s">
        <v>105</v>
      </c>
      <c r="B27" s="19" t="n">
        <f aca="false">B10</f>
        <v>0.1</v>
      </c>
      <c r="C27" s="26" t="n">
        <f aca="false">C10</f>
        <v>3.07</v>
      </c>
      <c r="D27" s="19" t="n">
        <f aca="false">D10/100</f>
        <v>0.0339</v>
      </c>
      <c r="E27" s="19" t="n">
        <f aca="false">E10/100</f>
        <v>0.2018</v>
      </c>
      <c r="F27" s="26" t="n">
        <f aca="false">G26</f>
        <v>3.08</v>
      </c>
      <c r="G27" s="26" t="n">
        <f aca="false">MAX(0,2*C27-F27)</f>
        <v>3.06</v>
      </c>
      <c r="H27" s="26" t="n">
        <f aca="false">MIN(F27,G27)</f>
        <v>3.06</v>
      </c>
      <c r="I27" s="26" t="n">
        <f aca="false">MAX(F27,G27)</f>
        <v>3.08</v>
      </c>
      <c r="J27" s="28" t="n">
        <f aca="false">IF(I27&lt;=Leviers!$B$7,0,IF(H27&gt;=Leviers!$B$7,B27*((F27+G27)/2-Leviers!$B$7),B27*(I27-Leviers!$B$7)/(I27-H27)*(I27-Leviers!$B$7)/2))</f>
        <v>0</v>
      </c>
      <c r="K27" s="28" t="n">
        <f aca="false">IF(I27&lt;=Leviers!$B$7,0,IF(H27&gt;=Leviers!$B$7,B27,B27*(I27-Leviers!$B$7)/(I27-H27)))</f>
        <v>0</v>
      </c>
    </row>
    <row r="28" customFormat="false" ht="15" hidden="false" customHeight="false" outlineLevel="0" collapsed="false">
      <c r="A28" s="7" t="s">
        <v>106</v>
      </c>
      <c r="B28" s="19" t="n">
        <f aca="false">B11</f>
        <v>0.1</v>
      </c>
      <c r="C28" s="26" t="n">
        <f aca="false">C11</f>
        <v>3.75</v>
      </c>
      <c r="D28" s="19" t="n">
        <f aca="false">D11/100</f>
        <v>0.0541</v>
      </c>
      <c r="E28" s="19" t="n">
        <f aca="false">E11/100</f>
        <v>0.2775</v>
      </c>
      <c r="F28" s="26" t="n">
        <f aca="false">G27</f>
        <v>3.06</v>
      </c>
      <c r="G28" s="26" t="n">
        <f aca="false">MAX(0,2*C28-F28)</f>
        <v>4.44</v>
      </c>
      <c r="H28" s="26" t="n">
        <f aca="false">MIN(F28,G28)</f>
        <v>3.06</v>
      </c>
      <c r="I28" s="26" t="n">
        <f aca="false">MAX(F28,G28)</f>
        <v>4.44</v>
      </c>
      <c r="J28" s="28" t="n">
        <f aca="false">IF(I28&lt;=Leviers!$B$7,0,IF(H28&gt;=Leviers!$B$7,B28*((F28+G28)/2-Leviers!$B$7),B28*(I28-Leviers!$B$7)/(I28-H28)*(I28-Leviers!$B$7)/2))</f>
        <v>0</v>
      </c>
      <c r="K28" s="28" t="n">
        <f aca="false">IF(I28&lt;=Leviers!$B$7,0,IF(H28&gt;=Leviers!$B$7,B28,B28*(I28-Leviers!$B$7)/(I28-H28)))</f>
        <v>0</v>
      </c>
    </row>
    <row r="29" customFormat="false" ht="15" hidden="false" customHeight="false" outlineLevel="0" collapsed="false">
      <c r="A29" s="7" t="s">
        <v>107</v>
      </c>
      <c r="B29" s="19" t="n">
        <f aca="false">B12</f>
        <v>0.1</v>
      </c>
      <c r="C29" s="26" t="n">
        <f aca="false">C12</f>
        <v>4.58</v>
      </c>
      <c r="D29" s="19" t="n">
        <f aca="false">D12/100</f>
        <v>0.0984</v>
      </c>
      <c r="E29" s="19" t="n">
        <f aca="false">E12/100</f>
        <v>0.3695</v>
      </c>
      <c r="F29" s="26" t="n">
        <f aca="false">G28</f>
        <v>4.44</v>
      </c>
      <c r="G29" s="26" t="n">
        <f aca="false">MAX(0,2*C29-F29)</f>
        <v>4.72</v>
      </c>
      <c r="H29" s="26" t="n">
        <f aca="false">MIN(F29,G29)</f>
        <v>4.44</v>
      </c>
      <c r="I29" s="26" t="n">
        <f aca="false">MAX(F29,G29)</f>
        <v>4.72</v>
      </c>
      <c r="J29" s="28" t="n">
        <f aca="false">IF(I29&lt;=Leviers!$B$7,0,IF(H29&gt;=Leviers!$B$7,B29*((F29+G29)/2-Leviers!$B$7),B29*(I29-Leviers!$B$7)/(I29-H29)*(I29-Leviers!$B$7)/2))</f>
        <v>0</v>
      </c>
      <c r="K29" s="28" t="n">
        <f aca="false">IF(I29&lt;=Leviers!$B$7,0,IF(H29&gt;=Leviers!$B$7,B29,B29*(I29-Leviers!$B$7)/(I29-H29)))</f>
        <v>0</v>
      </c>
    </row>
    <row r="30" customFormat="false" ht="15" hidden="false" customHeight="false" outlineLevel="0" collapsed="false">
      <c r="A30" s="7" t="s">
        <v>108</v>
      </c>
      <c r="B30" s="19" t="n">
        <f aca="false">B13</f>
        <v>0.1</v>
      </c>
      <c r="C30" s="26" t="n">
        <f aca="false">C13</f>
        <v>5.68</v>
      </c>
      <c r="D30" s="19" t="n">
        <f aca="false">D13/100</f>
        <v>0.2199</v>
      </c>
      <c r="E30" s="19" t="n">
        <f aca="false">E13/100</f>
        <v>0.4203</v>
      </c>
      <c r="F30" s="26" t="n">
        <f aca="false">G29</f>
        <v>4.72</v>
      </c>
      <c r="G30" s="26" t="n">
        <f aca="false">MAX(0,2*C30-F30)</f>
        <v>6.64</v>
      </c>
      <c r="H30" s="26" t="n">
        <f aca="false">MIN(F30,G30)</f>
        <v>4.72</v>
      </c>
      <c r="I30" s="26" t="n">
        <f aca="false">MAX(F30,G30)</f>
        <v>6.64</v>
      </c>
      <c r="J30" s="28" t="n">
        <f aca="false">IF(I30&lt;=Leviers!$B$7,0,IF(H30&gt;=Leviers!$B$7,B30*((F30+G30)/2-Leviers!$B$7),B30*(I30-Leviers!$B$7)/(I30-H30)*(I30-Leviers!$B$7)/2))</f>
        <v>0</v>
      </c>
      <c r="K30" s="28" t="n">
        <f aca="false">IF(I30&lt;=Leviers!$B$7,0,IF(H30&gt;=Leviers!$B$7,B30,B30*(I30-Leviers!$B$7)/(I30-H30)))</f>
        <v>0</v>
      </c>
    </row>
    <row r="31" customFormat="false" ht="15" hidden="false" customHeight="false" outlineLevel="0" collapsed="false">
      <c r="A31" s="7" t="s">
        <v>109</v>
      </c>
      <c r="B31" s="19" t="n">
        <f aca="false">B14</f>
        <v>0.1</v>
      </c>
      <c r="C31" s="26" t="n">
        <f aca="false">C14</f>
        <v>7.33</v>
      </c>
      <c r="D31" s="19" t="n">
        <f aca="false">D14/100</f>
        <v>0.3604</v>
      </c>
      <c r="E31" s="19" t="n">
        <f aca="false">E14/100</f>
        <v>0.381</v>
      </c>
      <c r="F31" s="26" t="n">
        <f aca="false">G30</f>
        <v>6.64</v>
      </c>
      <c r="G31" s="26" t="n">
        <f aca="false">MAX(0,2*C31-F31)</f>
        <v>8.02</v>
      </c>
      <c r="H31" s="26" t="n">
        <f aca="false">MIN(F31,G31)</f>
        <v>6.64</v>
      </c>
      <c r="I31" s="26" t="n">
        <f aca="false">MAX(F31,G31)</f>
        <v>8.02</v>
      </c>
      <c r="J31" s="28" t="n">
        <f aca="false">IF(I31&lt;=Leviers!$B$7,0,IF(H31&gt;=Leviers!$B$7,B31*((F31+G31)/2-Leviers!$B$7),B31*(I31-Leviers!$B$7)/(I31-H31)*(I31-Leviers!$B$7)/2))</f>
        <v>0</v>
      </c>
      <c r="K31" s="28" t="n">
        <f aca="false">IF(I31&lt;=Leviers!$B$7,0,IF(H31&gt;=Leviers!$B$7,B31,B31*(I31-Leviers!$B$7)/(I31-H31)))</f>
        <v>0</v>
      </c>
    </row>
    <row r="32" customFormat="false" ht="15" hidden="false" customHeight="false" outlineLevel="0" collapsed="false">
      <c r="A32" s="7" t="s">
        <v>125</v>
      </c>
      <c r="B32" s="19" t="n">
        <f aca="false">B15-B16</f>
        <v>0.05</v>
      </c>
      <c r="C32" s="26" t="n">
        <f aca="false">(C15*B15-C16*B16)/(B15-B16)</f>
        <v>9.54</v>
      </c>
      <c r="D32" s="19" t="n">
        <f aca="false">(D15*B15-D16*B16)/(B15-B16)/100</f>
        <v>0.5109</v>
      </c>
      <c r="E32" s="19" t="n">
        <f aca="false">(E15*B15-E16*B16)/(B15-B16)/100</f>
        <v>0.2969</v>
      </c>
      <c r="F32" s="26" t="n">
        <f aca="false">G31</f>
        <v>8.02</v>
      </c>
      <c r="G32" s="26" t="n">
        <f aca="false">MAX(0,2*C32-F32)</f>
        <v>11.06</v>
      </c>
      <c r="H32" s="26" t="n">
        <f aca="false">MIN(F32,G32)</f>
        <v>8.02</v>
      </c>
      <c r="I32" s="26" t="n">
        <f aca="false">MAX(F32,G32)</f>
        <v>11.06</v>
      </c>
      <c r="J32" s="28" t="n">
        <f aca="false">IF(I32&lt;=Leviers!$B$7,0,IF(H32&gt;=Leviers!$B$7,B32*((F32+G32)/2-Leviers!$B$7),B32*(I32-Leviers!$B$7)/(I32-H32)*(I32-Leviers!$B$7)/2))</f>
        <v>0.00924013157894733</v>
      </c>
      <c r="K32" s="28" t="n">
        <f aca="false">IF(I32&lt;=Leviers!$B$7,0,IF(H32&gt;=Leviers!$B$7,B32,B32*(I32-Leviers!$B$7)/(I32-H32)))</f>
        <v>0.0174342105263158</v>
      </c>
    </row>
    <row r="33" customFormat="false" ht="15" hidden="false" customHeight="false" outlineLevel="0" collapsed="false">
      <c r="A33" s="7" t="s">
        <v>126</v>
      </c>
      <c r="B33" s="19" t="n">
        <f aca="false">B16-B17</f>
        <v>0.03</v>
      </c>
      <c r="C33" s="26" t="n">
        <f aca="false">(C16*B16-C17*B17)/(B16-B17)</f>
        <v>12.2333333333333</v>
      </c>
      <c r="D33" s="19" t="n">
        <f aca="false">(D16*B16-D17*B17)/(B16-B17)/100</f>
        <v>0.542166666666667</v>
      </c>
      <c r="E33" s="19" t="n">
        <f aca="false">(E16*B16-E17*B17)/(B16-B17)/100</f>
        <v>0.277966666666667</v>
      </c>
      <c r="F33" s="26" t="n">
        <f aca="false">G32</f>
        <v>11.06</v>
      </c>
      <c r="G33" s="26" t="n">
        <f aca="false">MAX(0,2*C33-F33)</f>
        <v>13.4066666666667</v>
      </c>
      <c r="H33" s="26" t="n">
        <f aca="false">MIN(F33,G33)</f>
        <v>11.06</v>
      </c>
      <c r="I33" s="26" t="n">
        <f aca="false">MAX(F33,G33)</f>
        <v>13.4066666666667</v>
      </c>
      <c r="J33" s="28" t="n">
        <f aca="false">IF(I33&lt;=Leviers!$B$7,0,IF(H33&gt;=Leviers!$B$7,B33*((F33+G33)/2-Leviers!$B$7),B33*(I33-Leviers!$B$7)/(I33-H33)*(I33-Leviers!$B$7)/2))</f>
        <v>0.067</v>
      </c>
      <c r="K33" s="28" t="n">
        <f aca="false">IF(I33&lt;=Leviers!$B$7,0,IF(H33&gt;=Leviers!$B$7,B33,B33*(I33-Leviers!$B$7)/(I33-H33)))</f>
        <v>0.03</v>
      </c>
    </row>
    <row r="34" customFormat="false" ht="15" hidden="false" customHeight="false" outlineLevel="0" collapsed="false">
      <c r="A34" s="7" t="s">
        <v>127</v>
      </c>
      <c r="B34" s="19" t="n">
        <f aca="false">B17-B18</f>
        <v>0.01</v>
      </c>
      <c r="C34" s="26" t="n">
        <f aca="false">(C17*B17-C18*B18)/(B17-B18)</f>
        <v>15.53</v>
      </c>
      <c r="D34" s="19" t="n">
        <f aca="false">(D17*B17-D18*B18)/(B17-B18)/100</f>
        <v>0.5964</v>
      </c>
      <c r="E34" s="19" t="n">
        <f aca="false">(E17*B17-E18*B18)/(B17-B18)/100</f>
        <v>0.2213</v>
      </c>
      <c r="F34" s="26" t="n">
        <f aca="false">G33</f>
        <v>13.4066666666667</v>
      </c>
      <c r="G34" s="26" t="n">
        <f aca="false">MAX(0,2*C34-F34)</f>
        <v>17.6533333333333</v>
      </c>
      <c r="H34" s="26" t="n">
        <f aca="false">MIN(F34,G34)</f>
        <v>13.4066666666667</v>
      </c>
      <c r="I34" s="26" t="n">
        <f aca="false">MAX(F34,G34)</f>
        <v>17.6533333333333</v>
      </c>
      <c r="J34" s="28" t="n">
        <f aca="false">IF(I34&lt;=Leviers!$B$7,0,IF(H34&gt;=Leviers!$B$7,B34*((F34+G34)/2-Leviers!$B$7),B34*(I34-Leviers!$B$7)/(I34-H34)*(I34-Leviers!$B$7)/2))</f>
        <v>0.0553</v>
      </c>
      <c r="K34" s="28" t="n">
        <f aca="false">IF(I34&lt;=Leviers!$B$7,0,IF(H34&gt;=Leviers!$B$7,B34,B34*(I34-Leviers!$B$7)/(I34-H34)))</f>
        <v>0.01</v>
      </c>
    </row>
    <row r="35" customFormat="false" ht="15" hidden="false" customHeight="false" outlineLevel="0" collapsed="false">
      <c r="A35" s="7" t="s">
        <v>128</v>
      </c>
      <c r="B35" s="19" t="n">
        <f aca="false">B18</f>
        <v>0.01</v>
      </c>
      <c r="C35" s="26" t="n">
        <f aca="false">C18</f>
        <v>26.87</v>
      </c>
      <c r="D35" s="19" t="n">
        <f aca="false">D18/100</f>
        <v>0.5876</v>
      </c>
      <c r="E35" s="19" t="n">
        <f aca="false">E18/100</f>
        <v>0.1443</v>
      </c>
      <c r="F35" s="26" t="n">
        <f aca="false">G34</f>
        <v>17.6533333333333</v>
      </c>
      <c r="G35" s="26" t="n">
        <f aca="false">MAX(0,2*C35-F35)</f>
        <v>36.0866666666667</v>
      </c>
      <c r="H35" s="26" t="n">
        <f aca="false">MIN(F35,G35)</f>
        <v>17.6533333333333</v>
      </c>
      <c r="I35" s="26" t="n">
        <f aca="false">MAX(F35,G35)</f>
        <v>36.0866666666667</v>
      </c>
      <c r="J35" s="28" t="n">
        <f aca="false">IF(I35&lt;=Leviers!$B$7,0,IF(H35&gt;=Leviers!$B$7,B35*((F35+G35)/2-Leviers!$B$7),B35*(I35-Leviers!$B$7)/(I35-H35)*(I35-Leviers!$B$7)/2))</f>
        <v>0.1687</v>
      </c>
      <c r="K35" s="28" t="n">
        <f aca="false">IF(I35&lt;=Leviers!$B$7,0,IF(H35&gt;=Leviers!$B$7,B35,B35*(I35-Leviers!$B$7)/(I35-H35)))</f>
        <v>0.01</v>
      </c>
    </row>
    <row r="36" customFormat="false" ht="15" hidden="false" customHeight="false" outlineLevel="0" collapsed="false">
      <c r="A36" s="3" t="s">
        <v>129</v>
      </c>
      <c r="B36" s="19" t="n">
        <f aca="false">SUM(B23:B35)</f>
        <v>1</v>
      </c>
      <c r="C36" s="26" t="n">
        <f aca="false">SUMPRODUCT(B23:B35,C23:C35)</f>
        <v>4.289</v>
      </c>
      <c r="J36" s="29" t="n">
        <f aca="false">SUM(J23:J35)</f>
        <v>0.300240131578947</v>
      </c>
      <c r="K36" s="29" t="n">
        <f aca="false">SUM(K23:K35)</f>
        <v>0.0674342105263158</v>
      </c>
    </row>
    <row r="38" customFormat="false" ht="15" hidden="false" customHeight="false" outlineLevel="0" collapsed="false">
      <c r="A38" s="3" t="s">
        <v>130</v>
      </c>
    </row>
    <row r="39" customFormat="false" ht="15" hidden="false" customHeight="false" outlineLevel="0" collapsed="false">
      <c r="A39" s="30" t="s">
        <v>131</v>
      </c>
      <c r="B39" s="30"/>
      <c r="C39" s="25" t="n">
        <v>4.29</v>
      </c>
      <c r="D39" s="7" t="s">
        <v>132</v>
      </c>
    </row>
    <row r="40" customFormat="false" ht="15" hidden="false" customHeight="false" outlineLevel="0" collapsed="false">
      <c r="A40" s="30" t="s">
        <v>133</v>
      </c>
      <c r="B40" s="30"/>
      <c r="C40" s="31" t="n">
        <v>1408</v>
      </c>
      <c r="D40" s="7" t="s">
        <v>134</v>
      </c>
    </row>
    <row r="41" customFormat="false" ht="15" hidden="false" customHeight="false" outlineLevel="0" collapsed="false">
      <c r="A41" s="30" t="s">
        <v>135</v>
      </c>
      <c r="B41" s="30"/>
      <c r="C41" s="15" t="n">
        <v>28800000</v>
      </c>
      <c r="D41" s="7" t="s">
        <v>136</v>
      </c>
    </row>
    <row r="42" customFormat="false" ht="15" hidden="false" customHeight="false" outlineLevel="0" collapsed="false">
      <c r="A42" s="30" t="s">
        <v>137</v>
      </c>
      <c r="B42" s="30"/>
      <c r="C42" s="32" t="n">
        <v>1.18572074107546</v>
      </c>
      <c r="D42" s="7" t="s">
        <v>138</v>
      </c>
    </row>
    <row r="43" customFormat="false" ht="15" hidden="false" customHeight="false" outlineLevel="0" collapsed="false">
      <c r="A43" s="30" t="s">
        <v>139</v>
      </c>
      <c r="B43" s="30"/>
      <c r="C43" s="33" t="n">
        <f aca="false">C40*C41*C42/1000000000</f>
        <v>48.0814503389065</v>
      </c>
    </row>
    <row r="44" customFormat="false" ht="15" hidden="false" customHeight="false" outlineLevel="0" collapsed="false">
      <c r="A44" s="30" t="s">
        <v>140</v>
      </c>
      <c r="B44" s="30"/>
      <c r="C44" s="17" t="n">
        <f aca="false">J36/C39*C43</f>
        <v>3.36503053059671</v>
      </c>
    </row>
    <row r="45" customFormat="false" ht="15" hidden="false" customHeight="false" outlineLevel="0" collapsed="false">
      <c r="A45" s="30" t="s">
        <v>141</v>
      </c>
      <c r="B45" s="30"/>
      <c r="C45" s="34" t="n">
        <f aca="false">K36*C41</f>
        <v>1942105.26315789</v>
      </c>
    </row>
    <row r="46" customFormat="false" ht="15" hidden="false" customHeight="false" outlineLevel="0" collapsed="false">
      <c r="A46" s="30" t="s">
        <v>56</v>
      </c>
      <c r="B46" s="30"/>
      <c r="C46" s="35" t="n">
        <f aca="false">IF(J36&gt;0,SUMPRODUCT(J23:J35,D23:D35+E23:E35)/J36,0)</f>
        <v>0.769728718167841</v>
      </c>
    </row>
    <row r="47" customFormat="false" ht="15" hidden="false" customHeight="false" outlineLevel="0" collapsed="false">
      <c r="A47" s="30" t="s">
        <v>57</v>
      </c>
      <c r="B47" s="30"/>
      <c r="C47" s="35" t="n">
        <f aca="false">IF(J36&gt;0,SUMPRODUCT(J23:J35,D23:D35)/J36,0)</f>
        <v>0.576721669350922</v>
      </c>
    </row>
    <row r="49" customFormat="false" ht="15" hidden="false" customHeight="false" outlineLevel="0" collapsed="false">
      <c r="A49" s="2" t="s">
        <v>142</v>
      </c>
    </row>
  </sheetData>
  <mergeCells count="9"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143</v>
      </c>
    </row>
    <row r="3" customFormat="false" ht="15" hidden="false" customHeight="false" outlineLevel="0" collapsed="false">
      <c r="A3" s="24" t="s">
        <v>144</v>
      </c>
      <c r="B3" s="24" t="s">
        <v>145</v>
      </c>
      <c r="C3" s="24" t="s">
        <v>146</v>
      </c>
    </row>
    <row r="4" customFormat="false" ht="15" hidden="false" customHeight="false" outlineLevel="0" collapsed="false">
      <c r="A4" s="4" t="s">
        <v>147</v>
      </c>
      <c r="B4" s="4" t="s">
        <v>148</v>
      </c>
      <c r="C4" s="36" t="s">
        <v>149</v>
      </c>
    </row>
    <row r="5" customFormat="false" ht="15" hidden="false" customHeight="false" outlineLevel="0" collapsed="false">
      <c r="A5" s="4" t="s">
        <v>150</v>
      </c>
      <c r="B5" s="4" t="s">
        <v>151</v>
      </c>
      <c r="C5" s="36" t="s">
        <v>149</v>
      </c>
    </row>
    <row r="6" customFormat="false" ht="15" hidden="false" customHeight="false" outlineLevel="0" collapsed="false">
      <c r="A6" s="4" t="s">
        <v>152</v>
      </c>
      <c r="B6" s="4" t="s">
        <v>45</v>
      </c>
      <c r="C6" s="36" t="s">
        <v>153</v>
      </c>
    </row>
    <row r="7" customFormat="false" ht="15" hidden="false" customHeight="false" outlineLevel="0" collapsed="false">
      <c r="A7" s="4" t="s">
        <v>154</v>
      </c>
      <c r="B7" s="4" t="s">
        <v>47</v>
      </c>
      <c r="C7" s="36" t="s">
        <v>155</v>
      </c>
    </row>
    <row r="8" customFormat="false" ht="15" hidden="false" customHeight="false" outlineLevel="0" collapsed="false">
      <c r="A8" s="4" t="s">
        <v>156</v>
      </c>
      <c r="B8" s="4" t="s">
        <v>157</v>
      </c>
      <c r="C8" s="36" t="s">
        <v>158</v>
      </c>
    </row>
    <row r="9" customFormat="false" ht="15" hidden="false" customHeight="false" outlineLevel="0" collapsed="false">
      <c r="A9" s="4" t="s">
        <v>159</v>
      </c>
      <c r="B9" s="4" t="s">
        <v>30</v>
      </c>
      <c r="C9" s="36" t="s">
        <v>160</v>
      </c>
    </row>
    <row r="10" customFormat="false" ht="12.65" hidden="false" customHeight="false" outlineLevel="0" collapsed="false">
      <c r="A10" s="4" t="s">
        <v>161</v>
      </c>
      <c r="B10" s="4" t="s">
        <v>36</v>
      </c>
      <c r="C10" s="36" t="s">
        <v>162</v>
      </c>
    </row>
    <row r="11" customFormat="false" ht="23.85" hidden="false" customHeight="false" outlineLevel="0" collapsed="false">
      <c r="A11" s="4" t="s">
        <v>163</v>
      </c>
      <c r="B11" s="4" t="s">
        <v>38</v>
      </c>
    </row>
  </sheetData>
  <hyperlinks>
    <hyperlink ref="C4" r:id="rId1" display="https://drees.solidarites-sante.gouv.fr/publications-communique-de-presse/250828_ER_depenses-de-sante"/>
    <hyperlink ref="C5" r:id="rId2" display="https://drees.solidarites-sante.gouv.fr/publications-communique-de-presse/250828_ER_depenses-de-sante"/>
    <hyperlink ref="C6" r:id="rId3" display="https://www.securite-sociale.fr/files/live/sites/SSFR/files/medias/CCSS/2026/CCSS%20mai%202026_assembl%C3%A9_V2.pdf"/>
    <hyperlink ref="C7" r:id="rId4" display="https://questions.assemblee-nationale.fr/q17/17-161QE.htm"/>
    <hyperlink ref="C8" r:id="rId5" display="https://www.insee.fr/fr/statistiques/5431993"/>
    <hyperlink ref="C9" r:id="rId6" display="https://www.service-public.gouv.fr/particuliers/vosdroits/F2971"/>
    <hyperlink ref="C10" r:id="rId7" display="https://www.ipp.eu/wp-content/uploads/2026/07/Chapitre_Desindexation_retraite___Rapport_Perspectives_Budgetaires_2027-4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2026-10-01T07:56:40Z</dcterms:created>
  <dc:creator>openpyxl</dc:creator>
  <dc:description/>
  <dc:language>en-US</dc:language>
  <cp:lastModifiedBy/>
  <dcterms:modified xsi:type="dcterms:W3CDTF">2026-10-01T07:56:40Z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