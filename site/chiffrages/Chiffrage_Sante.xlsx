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Leviers" sheetId="2" state="visible" r:id="rId4"/>
    <sheet name="Effort" sheetId="3" state="visible" r:id="rId5"/>
    <sheet name="Bouclier" sheetId="4" state="visible" r:id="rId6"/>
    <sheet name="Usagers" sheetId="5" state="visible" r:id="rId7"/>
    <sheet name="Sources" sheetId="6" state="visible" r:id="rId8"/>
    <sheet name="Vérific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<sst xmlns="http://schemas.openxmlformats.org/spreadsheetml/2006/main" count="566" uniqueCount="396">
  <si>
    <t xml:space="preserve">Chiffrage de l'espace Santé</t>
  </si>
  <si>
    <t xml:space="preserve">La grande transmission : https://bonquentin-collab.github.io/Create-Website/</t>
  </si>
  <si>
    <t xml:space="preserve">Contenu</t>
  </si>
  <si>
    <t xml:space="preserve">Leviers : CSG des pensions au taux normal alignée sur les salaires, cotisation maladie sur les pensions de base, bouclier santé ; recettes, coût, effet sur le déficit de la branche maladie, perdants et gagnants.</t>
  </si>
  <si>
    <t xml:space="preserve">Usagers : leviers sur les plus gros consommateurs de soins et les complémentaires (franchises et participations, ticket modérateur, ALD, dépassements d'honoraires, TSA, forfait social des contrats d'entreprise) ; qui paie (patients, primes, employeurs, médecins) et combien par âge.</t>
  </si>
  <si>
    <t xml:space="preserve">Effort : taux d'effort pour la santé par niveau de vie, actifs et retraités (Drees, ER 1345, tableau C), et ce qu'ajoutent la CSG et la cotisation choisies.</t>
  </si>
  <si>
    <t xml:space="preserve">Bouclier : groupes de ménages classés par taux d'effort en primes et restes à charge (Drees, encadré 3), découpage des tops, profil linéaire et coût du plafond choisi.</t>
  </si>
  <si>
    <t xml:space="preserve">Sources : références de chaque donnée.</t>
  </si>
  <si>
    <t xml:space="preserve">Vérification</t>
  </si>
  <si>
    <t xml:space="preserve">Avec les réglages par défaut du site, les résultats sont ceux du site. Le coût du bouclier est calculé ici en forme exacte (intégrale d'un profil linéaire) ; le site l'approche par 200 points par groupe : écart négligeable (voir la feuille Bouclier).</t>
  </si>
  <si>
    <t xml:space="preserve">Limites</t>
  </si>
  <si>
    <t xml:space="preserve">Coût du bouclier : revenus supposés égaux entre groupes, ce qui le majore probablement ; aucun effet de comportement. Part de chaque niveau de vie soumise à chaque taux de CSG : estimation du site d'après les seuils de CSG.</t>
  </si>
  <si>
    <t xml:space="preserve">Franchises : modèle log-normal par âge calé sur les franchises observées (Drees, 2023) ; il retrouve à 5 % près les chiffrages officiels (2,3 Md€ et 0,75 Md€). Les autres leviers supposent une répercussion complète sur les primes (TSA) et aucun report des médecins sur leurs tarifs (taxe sur les dépassements).</t>
  </si>
  <si>
    <t xml:space="preserve">Chaque chiffre saisi est revérifié à la source : voir la feuille « Vérification » (type, calcul, source, statut).</t>
  </si>
  <si>
    <t xml:space="preserve">Légende des couleurs</t>
  </si>
  <si>
    <t xml:space="preserve">Texte bleu sur fond jaune : hypothèse ou donnée d'entrée, à modifier</t>
  </si>
  <si>
    <t xml:space="preserve">Texte bleu sans fond : donnée sourcée (tableau de référence)</t>
  </si>
  <si>
    <t xml:space="preserve">Texte noir : formule</t>
  </si>
  <si>
    <t xml:space="preserve">Texte vert : formule qui reprend une valeur d'une autre feuille</t>
  </si>
  <si>
    <t xml:space="preserve">Fond vert pâle : résultat principal</t>
  </si>
  <si>
    <t xml:space="preserve">Faire contribuer davantage les retraités qui le peuvent, protéger ceux pour qui la santé coûte le plus</t>
  </si>
  <si>
    <t xml:space="preserve">Aligner la CSG des pensions au taux normal sur celle des salaires</t>
  </si>
  <si>
    <t xml:space="preserve">Oui</t>
  </si>
  <si>
    <t xml:space="preserve">Cotisation maladie sur les pensions de base (retraités au taux médian ou normal)</t>
  </si>
  <si>
    <t xml:space="preserve">Créer un bouclier santé</t>
  </si>
  <si>
    <t xml:space="preserve">Plafond d'effort en primes et restes à charge (% du revenu)</t>
  </si>
  <si>
    <t xml:space="preserve">Votre pension brute mensuelle totale (€)</t>
  </si>
  <si>
    <t xml:space="preserve">Votre taux de CSG</t>
  </si>
  <si>
    <t xml:space="preserve">normal</t>
  </si>
  <si>
    <t xml:space="preserve">Paramètres</t>
  </si>
  <si>
    <t xml:space="preserve">Paramètre</t>
  </si>
  <si>
    <t xml:space="preserve">Valeur</t>
  </si>
  <si>
    <t xml:space="preserve">Type</t>
  </si>
  <si>
    <t xml:space="preserve">Comment c'est calculé</t>
  </si>
  <si>
    <t xml:space="preserve">Source</t>
  </si>
  <si>
    <t xml:space="preserve">Taux de CSG sur les revenus d'activité</t>
  </si>
  <si>
    <t xml:space="preserve">Loi ou barème</t>
  </si>
  <si>
    <t xml:space="preserve">Taux légal.</t>
  </si>
  <si>
    <t xml:space="preserve">Code de la sécurité sociale, art. L136-8</t>
  </si>
  <si>
    <t xml:space="preserve">Taux normal de CSG sur les pensions</t>
  </si>
  <si>
    <t xml:space="preserve">Barème légal ; seuils confirmés par l'IPP (note n° 129, encadré 1).</t>
  </si>
  <si>
    <t xml:space="preserve">Code de la sécurité sociale, art. L136-8 ; seuils 2025 : service-public.gouv.fr</t>
  </si>
  <si>
    <t xml:space="preserve">Assiette des pensions au taux normal (Md€)</t>
  </si>
  <si>
    <t xml:space="preserve">Calcul du site</t>
  </si>
  <si>
    <t xml:space="preserve">Calées sur l'IPP (voir le classeur Retraites).</t>
  </si>
  <si>
    <t xml:space="preserve">Estimation du site, calibrée sur les recettes de CSG 2025 (CCSS, mai 2026)</t>
  </si>
  <si>
    <t xml:space="preserve">Assiette des pensions au taux médian (Md€)</t>
  </si>
  <si>
    <t xml:space="preserve">Idem</t>
  </si>
  <si>
    <t xml:space="preserve">Part de la pension venant des régimes de base</t>
  </si>
  <si>
    <t xml:space="preserve">6,6 Md€ économisés par un gel de 2,5 % ÷ 0,025 = 264 Md€ de pensions de base, sur ≈ 400 Md€.</t>
  </si>
  <si>
    <t xml:space="preserve">IPP, Perspectives budgétaires 2027, chapitre 3 : sous-indexation des retraites (Aubert, Tô, Tochev, 2026)</t>
  </si>
  <si>
    <t xml:space="preserve">Part des pensions dans le revenu des retraités</t>
  </si>
  <si>
    <t xml:space="preserve">Voir le classeur Retraites.</t>
  </si>
  <si>
    <t xml:space="preserve">COR, rapport annuel juin 2026, figure 3.8 : pensions 77,8 % du revenu des ménages retraités, revenus d'activité 84,1 % de celui des ménages actifs</t>
  </si>
  <si>
    <t xml:space="preserve">Retraités de droit direct</t>
  </si>
  <si>
    <t xml:space="preserve">Chiffre publié</t>
  </si>
  <si>
    <t xml:space="preserve">Repris tel quel (dont 16,4 en France).</t>
  </si>
  <si>
    <t xml:space="preserve">Drees, effectifs de retraités fin 2024 (17,3 millions de retraités de droit direct, dont 16,4 en France)</t>
  </si>
  <si>
    <t xml:space="preserve">Part des retraités au taux normal</t>
  </si>
  <si>
    <t xml:space="preserve">Retraités du régime général au 31 décembre 2024.</t>
  </si>
  <si>
    <t xml:space="preserve">CNAV, recueil statistique 2025, retraités du régime général fin 2024</t>
  </si>
  <si>
    <t xml:space="preserve">Part des retraités au taux médian</t>
  </si>
  <si>
    <t xml:space="preserve">Solde de la branche maladie du régime général, 2026 (Md€)</t>
  </si>
  <si>
    <t xml:space="preserve">Repris tel quel.</t>
  </si>
  <si>
    <t xml:space="preserve">Commission des comptes de la sécurité sociale, rapport de mai 2026</t>
  </si>
  <si>
    <t xml:space="preserve">Cotisation maladie existante sur les complémentaires</t>
  </si>
  <si>
    <t xml:space="preserve">Retraités au taux médian ou normal de CSG.</t>
  </si>
  <si>
    <t xml:space="preserve">Question écrite n° 161 à l'Assemblée nationale, 8 octobre 2024 ; service-public.gouv.fr (prélèvements sur les pensions)</t>
  </si>
  <si>
    <t xml:space="preserve">Résultats</t>
  </si>
  <si>
    <t xml:space="preserve">Recettes de la CSG alignée (Md€)</t>
  </si>
  <si>
    <t xml:space="preserve">Recettes de la cotisation maladie (Md€)</t>
  </si>
  <si>
    <t xml:space="preserve">Ce que les retraités versent en plus (Md€)</t>
  </si>
  <si>
    <t xml:space="preserve">Autres leviers : gros consommateurs et complémentaires (Md€, feuille Usagers)</t>
  </si>
  <si>
    <t xml:space="preserve">Coût du bouclier (Md€), recalculé sur les efforts relevés par les autres leviers</t>
  </si>
  <si>
    <t xml:space="preserve">Effet net pour l'Assurance maladie (Md€)</t>
  </si>
  <si>
    <t xml:space="preserve">Part du déficit 2026 comblée</t>
  </si>
  <si>
    <t xml:space="preserve">Ménages protégés par le bouclier</t>
  </si>
  <si>
    <t xml:space="preserve">Part de l'aide pour des ménages de retraités</t>
  </si>
  <si>
    <t xml:space="preserve">… dont retraités modestes</t>
  </si>
  <si>
    <t xml:space="preserve">Retraités qui paient plus</t>
  </si>
  <si>
    <t xml:space="preserve">Solde pour les retraités : versé en plus (CSG, cotisation, autres leviers), net de ce que le bouclier leur rend (Md€)</t>
  </si>
  <si>
    <t xml:space="preserve">Votre perte (€ brut par mois)</t>
  </si>
  <si>
    <t xml:space="preserve">Taux d'effort pour la santé, avant et après (en % du revenu)</t>
  </si>
  <si>
    <t xml:space="preserve">Drees, ER 1345, tableau complémentaire C (Ines-Omar 2019) ; ajout de la réforme : estimation du site.</t>
  </si>
  <si>
    <t xml:space="preserve">Niveau de vie</t>
  </si>
  <si>
    <t xml:space="preserve">Champ</t>
  </si>
  <si>
    <t xml:space="preserve">Sécurité sociale</t>
  </si>
  <si>
    <t xml:space="preserve">Primes</t>
  </si>
  <si>
    <t xml:space="preserve">Restes à charge</t>
  </si>
  <si>
    <t xml:space="preserve">Total avant</t>
  </si>
  <si>
    <t xml:space="preserve">Part exposée au taux normal</t>
  </si>
  <si>
    <t xml:space="preserve">Part exposée au taux médian ou normal</t>
  </si>
  <si>
    <t xml:space="preserve">Ajout CSG et cotisation (points)</t>
  </si>
  <si>
    <t xml:space="preserve">Ajout des autres leviers (points)</t>
  </si>
  <si>
    <t xml:space="preserve">Très modestes</t>
  </si>
  <si>
    <t xml:space="preserve">Actifs en emploi (moins de 60 % du niveau de vie médian)</t>
  </si>
  <si>
    <t xml:space="preserve">Retraités (moins de 60 % du niveau de vie médian)</t>
  </si>
  <si>
    <t xml:space="preserve">Plutôt modestes</t>
  </si>
  <si>
    <t xml:space="preserve">Actifs en emploi (60 à 90 %)</t>
  </si>
  <si>
    <t xml:space="preserve">Retraités (60 à 90 %)</t>
  </si>
  <si>
    <t xml:space="preserve">Médians</t>
  </si>
  <si>
    <t xml:space="preserve">Actifs en emploi (90 à 120 %)</t>
  </si>
  <si>
    <t xml:space="preserve">Retraités (90 à 120 %)</t>
  </si>
  <si>
    <t xml:space="preserve">Plutôt aisés</t>
  </si>
  <si>
    <t xml:space="preserve">Actifs en emploi (120 à 180 %)</t>
  </si>
  <si>
    <t xml:space="preserve">Retraités (120 à 180 %)</t>
  </si>
  <si>
    <t xml:space="preserve">Très aisés</t>
  </si>
  <si>
    <t xml:space="preserve">Actifs en emploi (plus de 180 %)</t>
  </si>
  <si>
    <t xml:space="preserve">Retraités (plus de 180 %)</t>
  </si>
  <si>
    <t xml:space="preserve">Actifs avant</t>
  </si>
  <si>
    <t xml:space="preserve">Retraités avant</t>
  </si>
  <si>
    <t xml:space="preserve">Retraités après</t>
  </si>
  <si>
    <t xml:space="preserve">Écart actifs − retraités avant</t>
  </si>
  <si>
    <t xml:space="preserve">Écart après</t>
  </si>
  <si>
    <t xml:space="preserve">Actifs après</t>
  </si>
  <si>
    <t xml:space="preserve">Exposition : part de la pension brute des retraités de chaque niveau de vie touchée par chaque levier, estimée d'après les seuils de CSG 2025 (taux normal vers 2 400 € de pension brute pour une personne seule, taux médian vers 1 550 €).</t>
  </si>
  <si>
    <t xml:space="preserve">Bouclier santé : coût et bénéficiaires</t>
  </si>
  <si>
    <t xml:space="preserve">Primes de complémentaire et restes à charge en % du revenu disponible après financement de l'AMO, ménages classés selon ce taux (Drees, ER 1345, encadré 3 et tableau G, 2019).</t>
  </si>
  <si>
    <t xml:space="preserve">Données publiées</t>
  </si>
  <si>
    <t xml:space="preserve">Groupe</t>
  </si>
  <si>
    <t xml:space="preserve">Part des ménages</t>
  </si>
  <si>
    <t xml:space="preserve">Taux d'effort moyen (%)</t>
  </si>
  <si>
    <t xml:space="preserve">Retraités modestes (%)</t>
  </si>
  <si>
    <t xml:space="preserve">Retraités médians à aisés (%)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</si>
  <si>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</si>
  <si>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</si>
  <si>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</si>
  <si>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</si>
  <si>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</si>
  <si>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</si>
  <si>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</si>
  <si>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</si>
  <si>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</si>
  <si>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</si>
  <si>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Top 5 %</t>
  </si>
  <si>
    <t xml:space="preserve">Top 2 %</t>
  </si>
  <si>
    <t xml:space="preserve">Top 1 %</t>
  </si>
  <si>
    <t xml:space="preserve">Groupes disjoints et profil linéaire (bords choisis pour conserver la moyenne de chaque groupe ; efforts relevés de la hausse des primes et restes à charge due aux autres leviers, feuille Usagers)</t>
  </si>
  <si>
    <t xml:space="preserve">Part</t>
  </si>
  <si>
    <t xml:space="preserve">Effort moyen</t>
  </si>
  <si>
    <t xml:space="preserve">Retraités modestes</t>
  </si>
  <si>
    <t xml:space="preserve">Retraités médians à aisés</t>
  </si>
  <si>
    <t xml:space="preserve">Bord gauche</t>
  </si>
  <si>
    <t xml:space="preserve">Bord droit</t>
  </si>
  <si>
    <t xml:space="preserve">Bas</t>
  </si>
  <si>
    <t xml:space="preserve">Haut</t>
  </si>
  <si>
    <t xml:space="preserve">Effort au-delà du plafond</t>
  </si>
  <si>
    <t xml:space="preserve">Ménages bénéficiaires (part)</t>
  </si>
  <si>
    <t xml:space="preserve">90 à 95 %</t>
  </si>
  <si>
    <t xml:space="preserve">95 à 98 %</t>
  </si>
  <si>
    <t xml:space="preserve">98 à 99 %</t>
  </si>
  <si>
    <t xml:space="preserve">1 % le plus exposé</t>
  </si>
  <si>
    <t xml:space="preserve">Total</t>
  </si>
  <si>
    <t xml:space="preserve">Paramètres et résultats</t>
  </si>
  <si>
    <t xml:space="preserve">Taux d'effort moyen publié, ensemble (%)</t>
  </si>
  <si>
    <t xml:space="preserve">Drees, encadré 3</t>
  </si>
  <si>
    <t xml:space="preserve">Moyenne publiée des taux d'effort des dix dixièmes.</t>
  </si>
  <si>
    <t xml:space="preserve">Primes et restes à charge moyens par ménage, 2019 (€)</t>
  </si>
  <si>
    <t xml:space="preserve">Drees, tableau A : 1 021 € + 387 €</t>
  </si>
  <si>
    <t xml:space="preserve">1 021 € de primes + 387 € de restes à charge.</t>
  </si>
  <si>
    <t xml:space="preserve">Ménages (champ de l'enquête)</t>
  </si>
  <si>
    <t xml:space="preserve">Insee Première n° 1875, 2021 (champ de 63,4 millions de personnes) ; 2,2 personnes par ménage</t>
  </si>
  <si>
    <t xml:space="preserve">63,4 millions de personnes ÷ 2,2 personnes par ménage.</t>
  </si>
  <si>
    <t xml:space="preserve">Évolution 2019 → 2024 des dépenses payées par les complémentaires et les ménages</t>
  </si>
  <si>
    <t xml:space="preserve">Drees, comptes de la santé : 44,3 Md€ en 2019, 52,5 Md€ en 2024</t>
  </si>
  <si>
    <t xml:space="preserve">(32,52 + 19,96) ÷ (26,74 + 17,52) Md€.</t>
  </si>
  <si>
    <t xml:space="preserve">Primes et restes à charge, 2024 (Md€)</t>
  </si>
  <si>
    <t xml:space="preserve">Bouclier : coût (Md€)</t>
  </si>
  <si>
    <t xml:space="preserve">Bouclier : ménages bénéficiaires</t>
  </si>
  <si>
    <t xml:space="preserve">Coût = (effort au-delà du plafond) ÷ (effort moyen) × dépense totale, en supposant des revenus égaux entre groupes (majorant probable : les ménages les plus exposés sont souvent modestes). Profil linéaire dans chaque groupe, intégré exactement ; le site l'approche par 200 points par groupe.</t>
  </si>
  <si>
    <t xml:space="preserve">Avec les autres leviers, efforts et dépense totale sont relevés du même facteur (1 + ρ) : le rapport effort ÷ moyenne × dépense totale reste juste.</t>
  </si>
  <si>
    <t xml:space="preserve">Les plus gros consommateurs de soins et les complémentaires santé</t>
  </si>
  <si>
    <t xml:space="preserve">Franchises, ticket modérateur, ALD, dépassements d'honoraires, TSA, forfait social des contrats d'entreprise : ce que gagne l'Assurance maladie et qui paie.</t>
  </si>
  <si>
    <t xml:space="preserve">Vos réglages</t>
  </si>
  <si>
    <t xml:space="preserve">Plafond annuel des franchises et participations (€, total)</t>
  </si>
  <si>
    <t xml:space="preserve">Multiplicateur des montants unitaires (1 = actuels)</t>
  </si>
  <si>
    <t xml:space="preserve">Ticket modérateur des consultations</t>
  </si>
  <si>
    <t xml:space="preserve">ALD : cures thermales remboursées comme pour tous</t>
  </si>
  <si>
    <t xml:space="preserve">Non</t>
  </si>
  <si>
    <t xml:space="preserve">ALD : suppression des ALD « non exonérantes »</t>
  </si>
  <si>
    <t xml:space="preserve">Plafonnement des dépassements : baisse</t>
  </si>
  <si>
    <t xml:space="preserve">Taxe sur les dépassements restants</t>
  </si>
  <si>
    <t xml:space="preserve">Variation de la TSA (points)</t>
  </si>
  <si>
    <t xml:space="preserve">Forfait social des contrats d'entreprise</t>
  </si>
  <si>
    <t xml:space="preserve">Dispersion du modèle de franchises</t>
  </si>
  <si>
    <t xml:space="preserve">Hypothèse du site</t>
  </si>
  <si>
    <t xml:space="preserve">Choisie pour retrouver les deux points de contrôle officiels.</t>
  </si>
  <si>
    <t xml:space="preserve">Multiplicateur des montants 2023 → 2024 (doublement de 2024)</t>
  </si>
  <si>
    <t xml:space="preserve">Repris tel quel ; sert à caler le modèle par âge.</t>
  </si>
  <si>
    <t xml:space="preserve">Plafond total en 2023 (€)</t>
  </si>
  <si>
    <t xml:space="preserve">Plafond total actuel (€)</t>
  </si>
  <si>
    <t xml:space="preserve">Plafonds relevés de 50 € à 70 € chacun ; montants unitaires inchangés.</t>
  </si>
  <si>
    <t xml:space="preserve">Ticket modérateur actuel des consultations</t>
  </si>
  <si>
    <t xml:space="preserve">1,1 Md€ transférés aux complémentaires pour 30 → 40 % (PLFSS 2025) ÷ 10.</t>
  </si>
  <si>
    <t xml:space="preserve">Rendement d'un point de ticket modérateur (Md€)</t>
  </si>
  <si>
    <t xml:space="preserve">ALD : cures thermales (Md€)</t>
  </si>
  <si>
    <t xml:space="preserve">Mesures du PLFSS 2026 abandonnées en LFSS.</t>
  </si>
  <si>
    <t xml:space="preserve">ALD : ALD non exonérantes (Md€)</t>
  </si>
  <si>
    <t xml:space="preserve">Dépassements d'honoraires 2024 (Md€)</t>
  </si>
  <si>
    <t xml:space="preserve">Repris tel quel (milieu retenu : 38,5 %).</t>
  </si>
  <si>
    <t xml:space="preserve">Part des dépassements remboursée par les complémentaires</t>
  </si>
  <si>
    <t xml:space="preserve">Part de la population sans complémentaire</t>
  </si>
  <si>
    <t xml:space="preserve">Taux de TSA</t>
  </si>
  <si>
    <t xml:space="preserve">Valeur d'un point : 6,558 ÷ 13,27 ≈ 0,49 Md€ (un peu forte : certains contrats sont taxés à 20,27 %).</t>
  </si>
  <si>
    <t xml:space="preserve">Recettes de TSA 2025 (Md€)</t>
  </si>
  <si>
    <t xml:space="preserve">Contrats d'entreprise : assiette exemptée (Md€)</t>
  </si>
  <si>
    <t xml:space="preserve">Prévision 2026, tableau 9 (santé et prévoyance ensemble).</t>
  </si>
  <si>
    <t xml:space="preserve">Contrats d'entreprise : manque à gagner net (Md€)</t>
  </si>
  <si>
    <t xml:space="preserve">Forfait social actuel</t>
  </si>
  <si>
    <t xml:space="preserve">Prime mensuelle à 20 ans (€)</t>
  </si>
  <si>
    <t xml:space="preserve">Interpolée linéairement entre ces âges pour répartir une hausse de primes.</t>
  </si>
  <si>
    <t xml:space="preserve">Prime mensuelle à 85 ans (€)</t>
  </si>
  <si>
    <t xml:space="preserve">Âge</t>
  </si>
  <si>
    <t xml:space="preserve">Personnes</t>
  </si>
  <si>
    <t xml:space="preserve">Franchises observées 2023 (€)</t>
  </si>
  <si>
    <t xml:space="preserve">Âge milieu</t>
  </si>
  <si>
    <t xml:space="preserve">Paramètre mu (calé)</t>
  </si>
  <si>
    <t xml:space="preserve">Contrôle : modèle 2023 (€)</t>
  </si>
  <si>
    <t xml:space="preserve">Franchises avant (€)</t>
  </si>
  <si>
    <t xml:space="preserve">Franchises après (€)</t>
  </si>
  <si>
    <t xml:space="preserve">Δ franchises (€/pers.)</t>
  </si>
  <si>
    <t xml:space="preserve">Ticket modérateur (€)</t>
  </si>
  <si>
    <t xml:space="preserve">Remboursement AMO (€)</t>
  </si>
  <si>
    <t xml:space="preserve">Dépassements (€)</t>
  </si>
  <si>
    <t xml:space="preserve">Prime mensuelle (€)</t>
  </si>
  <si>
    <t xml:space="preserve">Actif (21-60 ans)</t>
  </si>
  <si>
    <t xml:space="preserve">Ticket mod. (€/pers.)</t>
  </si>
  <si>
    <t xml:space="preserve">ALD (€/pers.)</t>
  </si>
  <si>
    <t xml:space="preserve">Dépassements (€/pers.)</t>
  </si>
  <si>
    <t xml:space="preserve">Primes : TSA (€/pers.)</t>
  </si>
  <si>
    <t xml:space="preserve">Contrats d'entreprise (€/pers.)</t>
  </si>
  <si>
    <t xml:space="preserve">Patients (€/pers.)</t>
  </si>
  <si>
    <t xml:space="preserve">Via les primes (€/pers.)</t>
  </si>
  <si>
    <t xml:space="preserve">0-10 ans</t>
  </si>
  <si>
    <t xml:space="preserve">exonérés</t>
  </si>
  <si>
    <t xml:space="preserve">11-20 ans</t>
  </si>
  <si>
    <t xml:space="preserve">21-30 ans</t>
  </si>
  <si>
    <t xml:space="preserve">31-40 ans</t>
  </si>
  <si>
    <t xml:space="preserve">41-50 ans</t>
  </si>
  <si>
    <t xml:space="preserve">51-60 ans</t>
  </si>
  <si>
    <t xml:space="preserve">61-70 ans</t>
  </si>
  <si>
    <t xml:space="preserve">71-80 ans</t>
  </si>
  <si>
    <t xml:space="preserve">80 ans ou plus</t>
  </si>
  <si>
    <t xml:space="preserve">Levier</t>
  </si>
  <si>
    <t xml:space="preserve">Recettes Assurance maladie (Md€)</t>
  </si>
  <si>
    <t xml:space="preserve">Patients (Md€)</t>
  </si>
  <si>
    <t xml:space="preserve">Via les primes (Md€)</t>
  </si>
  <si>
    <t xml:space="preserve">Employeurs (Md€)</t>
  </si>
  <si>
    <t xml:space="preserve">Médecins (Md€)</t>
  </si>
  <si>
    <t xml:space="preserve">Franchises et participations forfaitaires</t>
  </si>
  <si>
    <t xml:space="preserve">Affections de longue durée</t>
  </si>
  <si>
    <t xml:space="preserve">Dépassements d'honoraires (baisse, puis taxe)</t>
  </si>
  <si>
    <t xml:space="preserve">TSA</t>
  </si>
  <si>
    <t xml:space="preserve">Contrats d'entreprise (forfait social)</t>
  </si>
  <si>
    <t xml:space="preserve">TSA sur la variation des primes (effet croisé)</t>
  </si>
  <si>
    <t xml:space="preserve">Pour les niveaux de vie (feuille Effort) et le solde des retraités</t>
  </si>
  <si>
    <t xml:space="preserve">Payé par les retraités (61 ans ou plus), patients et primes (Md€)</t>
  </si>
  <si>
    <t xml:space="preserve">Patients : payé par les actifs (Md€)</t>
  </si>
  <si>
    <t xml:space="preserve">Patients : payé par les retraités (Md€)</t>
  </si>
  <si>
    <t xml:space="preserve">Primes : payé par les actifs (Md€)</t>
  </si>
  <si>
    <t xml:space="preserve">Primes : payé par les retraités (Md€)</t>
  </si>
  <si>
    <t xml:space="preserve">Restes à charge des actifs (Md€)</t>
  </si>
  <si>
    <t xml:space="preserve">Restes à charge des retraités (Md€)</t>
  </si>
  <si>
    <t xml:space="preserve">Primes des actifs (Md€)</t>
  </si>
  <si>
    <t xml:space="preserve">Primes des retraités (Md€)</t>
  </si>
  <si>
    <t xml:space="preserve">Revenu disponible des actifs (Md€)</t>
  </si>
  <si>
    <t xml:space="preserve">ρ : hausse relative des primes et restes à charge (bouclier)</t>
  </si>
  <si>
    <t xml:space="preserve">Part des retraités dans les restes à charge (pondération par âge)</t>
  </si>
  <si>
    <t xml:space="preserve">Part des retraités parmi les assurés de plus de 10 ans</t>
  </si>
  <si>
    <t xml:space="preserve">Contrôle du modèle de franchises : la colonne F (modèle avec les règles de 2023) doit retrouver la colonne C (franchises observées). Points de contrôle officiels : doubler montants et plafonds (100 € + 100 €) par rapport aux règles de 2025 rapporte 2,3 Md€ (CCSS, mai 2026) ; doubler les seuls plafonds environ 0,75 Md€ (gouvernement, juillet 2026).</t>
  </si>
  <si>
    <t xml:space="preserve">Franchises et participations payées avec les règles actuelles, selon le modèle (Md€) :</t>
  </si>
  <si>
    <t xml:space="preserve">Rappel : avec le plafond actuel (140 €), colonne G. Les points de contrôle se vérifient en mettant 100 puis 200 € et le multiplicateur 1 ou 2 dans les réglages.</t>
  </si>
  <si>
    <t xml:space="preserve">Sources</t>
  </si>
  <si>
    <t xml:space="preserve">Donnée</t>
  </si>
  <si>
    <t xml:space="preserve">Lien</t>
  </si>
  <si>
    <t xml:space="preserve">Taux d'effort, bouclier</t>
  </si>
  <si>
    <t xml:space="preserve">Drees, Études et Résultats n° 1345, juillet 2025, encadré 3 et tableaux complémentaires A et G (Ines-Omar 2019)</t>
  </si>
  <si>
    <t xml:space="preserve">https://drees.solidarites-sante.gouv.fr/publications-communique-de-presse/250828_ER_depenses-de-sante</t>
  </si>
  <si>
    <t xml:space="preserve">Taux d'effort par niveau de vie</t>
  </si>
  <si>
    <t xml:space="preserve">Drees, Études et Résultats n° 1345, juillet 2025, tableau complémentaire C (modèle Ines-Omar 2019)</t>
  </si>
  <si>
    <t xml:space="preserve">Déficit de la branche maladie</t>
  </si>
  <si>
    <t xml:space="preserve">https://www.securite-sociale.fr/files/live/sites/SSFR/files/medias/CCSS/2026/CCSS%20mai%202026_assembl%C3%A9_V2.pdf</t>
  </si>
  <si>
    <t xml:space="preserve">Cotisation maladie sur les complémentaires</t>
  </si>
  <si>
    <t xml:space="preserve">https://questions.assemblee-nationale.fr/q17/17-161QE.htm</t>
  </si>
  <si>
    <t xml:space="preserve">Ménages</t>
  </si>
  <si>
    <t xml:space="preserve">Insee Première n° 1875, 2021 (champ de 63,4 millions de personnes)</t>
  </si>
  <si>
    <t xml:space="preserve">https://www.insee.fr/fr/statistiques/5431993</t>
  </si>
  <si>
    <t xml:space="preserve">CSG des retraités</t>
  </si>
  <si>
    <t xml:space="preserve">https://www.service-public.gouv.fr/particuliers/vosdroits/F2971</t>
  </si>
  <si>
    <t xml:space="preserve">Part des pensions de base</t>
  </si>
  <si>
    <t xml:space="preserve">https://www.ipp.eu/wp-content/uploads/2026/07/Chapitre_Desindexation_retraite___Rapport_Perspectives_Budgetaires_2027-4.pdf</t>
  </si>
  <si>
    <t xml:space="preserve">Composition des revenus</t>
  </si>
  <si>
    <t xml:space="preserve">Franchises et participations</t>
  </si>
  <si>
    <t xml:space="preserve">Décret n° 2026-858 du 11 septembre 2026 (service-public.gouv.fr, 16 septembre 2026)</t>
  </si>
  <si>
    <t xml:space="preserve">https://www.service-public.gouv.fr/particuliers/actualites/A17166</t>
  </si>
  <si>
    <t xml:space="preserve">Dépenses et restes à charge par âge</t>
  </si>
  <si>
    <t xml:space="preserve">Drees, dépenses de santé et restes à charge 2023 (données de l'Assurance maladie)</t>
  </si>
  <si>
    <t xml:space="preserve">https://data.drees.solidarites-sante.gouv.fr/explore/dataset/depenses-de-sante-et-restes-a-charge/information/</t>
  </si>
  <si>
    <t xml:space="preserve">PLFSS 2025, mesure de transfert du ticket modérateur des consultations (1,1 Md€ pour 10 points), citée par Previssima et Public Sénat</t>
  </si>
  <si>
    <t xml:space="preserve">https://www.publicsenat.fr/actualites/sante/consultations-medicales-la-ministre-de-la-sante-tempere-sur-la-hausse-du-ticket-moderateur</t>
  </si>
  <si>
    <t xml:space="preserve">Hausses du ticket modérateur de 2027</t>
  </si>
  <si>
    <t xml:space="preserve">JORF du 22 août 2026, décrets n° 2026-809 à 2026-812 ; montant : presse spécialisée (SPAC Actuaires, Caducée)</t>
  </si>
  <si>
    <t xml:space="preserve">https://www.legifrance.gouv.fr/jorf/jo/2026/08/22/0195</t>
  </si>
  <si>
    <t xml:space="preserve">ALD</t>
  </si>
  <si>
    <t xml:space="preserve">CCSS, mai 2026, fiche 2.2 (mesures d'économies abandonnées en LFSS 2026)</t>
  </si>
  <si>
    <t xml:space="preserve">Dépassements d'honoraires</t>
  </si>
  <si>
    <t xml:space="preserve">Rapport de la mission Rousset-Monnet sur les dépassements d'honoraires, octobre 2025</t>
  </si>
  <si>
    <t xml:space="preserve">https://www.apmnews.com/documents/202510231649030.rapport_consolide_depassements_dhonoraires_VF_compressed.pdf</t>
  </si>
  <si>
    <t xml:space="preserve">Code de la sécurité sociale, art. L862-4 ; recettes : CCSS, mai 2026 (impôts et taxes affectés)</t>
  </si>
  <si>
    <t xml:space="preserve">https://www.legifrance.gouv.fr/codes/article_lc/LEGIARTI000042698839</t>
  </si>
  <si>
    <t xml:space="preserve">Contrats d'entreprise</t>
  </si>
  <si>
    <t xml:space="preserve">PLFSS 2026, annexe 4, tableau 9 (coût des exemptions d'assiette)</t>
  </si>
  <si>
    <t xml:space="preserve">https://www.assemblee-nationale.fr/dyn/contenu/visualisation/1088679/file/PLFSS2026-Annexe4-20251014-183718-59-11_avec%20couverture-2.pdf</t>
  </si>
  <si>
    <t xml:space="preserve">Primes par âge</t>
  </si>
  <si>
    <t xml:space="preserve">Drees, enquête auprès des organismes complémentaires, données 2023 (septembre 2025)</t>
  </si>
  <si>
    <t xml:space="preserve">https://drees.solidarites-sante.gouv.fr/communique-de-presse-jeux-de-donnees/jeux-de-donnees/250923_DATA_organismes-couvertures-compl%C3%A9mentaires-sant%C3%A9</t>
  </si>
  <si>
    <t xml:space="preserve">Vérification des chiffres</t>
  </si>
  <si>
    <t xml:space="preserve">Chaque chiffre saisi dans ce classeur, revérifié à la source en octobre 2026.</t>
  </si>
  <si>
    <t xml:space="preserve">Statut</t>
  </si>
  <si>
    <t xml:space="preserve">Remarque</t>
  </si>
  <si>
    <t xml:space="preserve">Taux d'effort pour la santé par niveau de vie, actifs et retraités</t>
  </si>
  <si>
    <t xml:space="preserve">2019</t>
  </si>
  <si>
    <t xml:space="preserve">Tableau complémentaire C, repris à l'identique.</t>
  </si>
  <si>
    <t xml:space="preserve">Drees, Études et Résultats n° 1345 (2025)</t>
  </si>
  <si>
    <t xml:space="preserve">Confirmé</t>
  </si>
  <si>
    <t xml:space="preserve">Taux d'effort en primes et restes à charge par dixième et tops, composition des groupes</t>
  </si>
  <si>
    <t xml:space="preserve">Encadré 3 et tableaux complémentaires A et G, repris à l'identique.</t>
  </si>
  <si>
    <t xml:space="preserve">Part des retraités de chaque niveau de vie exposée aux taux normal et médian</t>
  </si>
  <si>
    <t xml:space="preserve">0 à 100 %</t>
  </si>
  <si>
    <t xml:space="preserve">Déduite des seuils de CSG : taux normal vers 2 400 € de pension brute pour une personne seule, taux médian vers 1 550 €.</t>
  </si>
  <si>
    <t xml:space="preserve">Estimation, non vérifiable</t>
  </si>
  <si>
    <t xml:space="preserve">Assiettes des pensions aux taux normal et médian</t>
  </si>
  <si>
    <t xml:space="preserve">190,5 et 118,7 Md€</t>
  </si>
  <si>
    <t xml:space="preserve">IPP, note n° 129 (2026)</t>
  </si>
  <si>
    <t xml:space="preserve">https://www.ipp.eu/publication/comment-mettre-a-contribution-les-retraites-pour-le-redressement-des-finances-publiques/</t>
  </si>
  <si>
    <t xml:space="preserve">67 %</t>
  </si>
  <si>
    <t xml:space="preserve">IPP, note n° 129 et chapitre 3 (2026)</t>
  </si>
  <si>
    <t xml:space="preserve">Solde de la branche maladie du régime général, 2026</t>
  </si>
  <si>
    <t xml:space="preserve">−13,8 Md€</t>
  </si>
  <si>
    <t xml:space="preserve">CCSS, rapport de mai 2026</t>
  </si>
  <si>
    <t xml:space="preserve">Cotisation maladie sur les retraites complémentaires</t>
  </si>
  <si>
    <t xml:space="preserve">1 %</t>
  </si>
  <si>
    <t xml:space="preserve">Question écrite n° 161 (2024) ; service-public.gouv.fr</t>
  </si>
  <si>
    <t xml:space="preserve">Ménages dans le champ de l'enquête</t>
  </si>
  <si>
    <t xml:space="preserve">28,8 millions</t>
  </si>
  <si>
    <t xml:space="preserve">Insee Première n° 1875 ; Insee, ménages</t>
  </si>
  <si>
    <t xml:space="preserve">× 1,186</t>
  </si>
  <si>
    <t xml:space="preserve">Drees, comptes de la santé (données en ligne)</t>
  </si>
  <si>
    <t xml:space="preserve">https://data.drees.solidarites-sante.gouv.fr/explore/dataset/cns_financement/information/</t>
  </si>
  <si>
    <t xml:space="preserve">Part des pensions dans le revenu des retraités ; répartition par taux de CSG</t>
  </si>
  <si>
    <t xml:space="preserve">77,8 % ; 29 / 27 %</t>
  </si>
  <si>
    <t xml:space="preserve">COR 2026, figure 3.8 ; Cnav</t>
  </si>
  <si>
    <t xml:space="preserve">https://www.cor-retraites.fr/sites/default/files/2026-06/RA_2026_def.pdf</t>
  </si>
  <si>
    <t xml:space="preserve">Franchises (1 € par boîte et acte paramédical, 4 € par transport) et participations (2 €) ; plafonds annuels</t>
  </si>
  <si>
    <t xml:space="preserve">70 € + 70 € depuis le 1er octobre 2026</t>
  </si>
  <si>
    <t xml:space="preserve">Décret n° 2026-858 du 11 septembre 2026 (service-public.gouv.fr)</t>
  </si>
  <si>
    <t xml:space="preserve">Doublement des franchises, participations et plafonds (PLFSS 2026, abandonné)</t>
  </si>
  <si>
    <t xml:space="preserve">2,3 Md€</t>
  </si>
  <si>
    <t xml:space="preserve">Point de contrôle du modèle (retrouvé à 5 % près).</t>
  </si>
  <si>
    <t xml:space="preserve">CCSS, mai 2026, fiche 2.2</t>
  </si>
  <si>
    <t xml:space="preserve">Doublement des seuls plafonds (100 € + 100 €)</t>
  </si>
  <si>
    <t xml:space="preserve">≈ 0,75 Md€</t>
  </si>
  <si>
    <t xml:space="preserve">Point de contrôle du modèle ; chiffre annoncé par le gouvernement en juillet 2026.</t>
  </si>
  <si>
    <t xml:space="preserve">Public Sénat, Caducée (juillet-septembre 2026)</t>
  </si>
  <si>
    <t xml:space="preserve">Confirmé (source secondaire)</t>
  </si>
  <si>
    <t xml:space="preserve">Le rendement du décret finalement pris (70 € + 70 €) n'a pas été publié.</t>
  </si>
  <si>
    <t xml:space="preserve">Franchises et participations payées par personne et par âge</t>
  </si>
  <si>
    <t xml:space="preserve">0 à 52 € (2023)</t>
  </si>
  <si>
    <t xml:space="preserve">Drees, dépenses de santé et restes à charge 2023</t>
  </si>
  <si>
    <t xml:space="preserve">Dispersion du modèle de franchises (log-normale)</t>
  </si>
  <si>
    <t xml:space="preserve">1,4</t>
  </si>
  <si>
    <t xml:space="preserve">Ticket modérateur des consultations : rendement d'un point</t>
  </si>
  <si>
    <t xml:space="preserve">0,11 Md€</t>
  </si>
  <si>
    <t xml:space="preserve">PLFSS 2025, mesure citée par Public Sénat et Previssima</t>
  </si>
  <si>
    <t xml:space="preserve">Hausses du ticket modérateur de 2027 (dentaire, dispositifs, médicaments, transports)</t>
  </si>
  <si>
    <t xml:space="preserve">≈ 1,5 Md€</t>
  </si>
  <si>
    <t xml:space="preserve">Décrets publiés au JO du 22 août 2026 ; montant tiré de la presse spécialisée. Non compté (déjà décidé).</t>
  </si>
  <si>
    <t xml:space="preserve">Décrets n° 2026-809 à 812</t>
  </si>
  <si>
    <t xml:space="preserve">ALD : cures thermales alignées (0,2 Md€), fin des ALD « non exonérantes » (0,1 Md€)</t>
  </si>
  <si>
    <t xml:space="preserve">0,3 Md€</t>
  </si>
  <si>
    <t xml:space="preserve">Dépassements d'honoraires 2024 ; part remboursée par les complémentaires</t>
  </si>
  <si>
    <t xml:space="preserve">4,5 Md€ ; 37 à 40 %</t>
  </si>
  <si>
    <t xml:space="preserve">Mission Rousset-Monnet (octobre 2025)</t>
  </si>
  <si>
    <t xml:space="preserve">Part de la population sans complémentaire santé</t>
  </si>
  <si>
    <t xml:space="preserve">5 %</t>
  </si>
  <si>
    <t xml:space="preserve">Taxe de solidarité additionnelle : taux ; recettes 2025</t>
  </si>
  <si>
    <t xml:space="preserve">13,27 % ; 6,558 Md€</t>
  </si>
  <si>
    <t xml:space="preserve">CSS, art. L862-4 ; CCSS, mai 2026</t>
  </si>
  <si>
    <t xml:space="preserve">Contrats santé et prévoyance d'entreprise : assiette exemptée ; manque à gagner net ; forfait social</t>
  </si>
  <si>
    <t xml:space="preserve">24,3 Md€ ; 5,6 Md€ ; 8 %</t>
  </si>
  <si>
    <t xml:space="preserve">PLFSS 2026, annexe 4</t>
  </si>
  <si>
    <t xml:space="preserve">Prime mensuelle de complémentaire à 20 et 85 ans</t>
  </si>
  <si>
    <t xml:space="preserve">36 € ; 142 €</t>
  </si>
  <si>
    <t xml:space="preserve">Drees, organismes complémentaires (2025)</t>
  </si>
  <si>
    <t xml:space="preserve">Types : « Chiffre publié » (repris d'une publication), « Lu sur un graphique », « Calcul du site » (formule à partir de chiffres publiés), « Hypothèse du site », « Loi ou barème ».</t>
  </si>
  <si>
    <t xml:space="preserve">Statuts : « Confirmé » (vérifié à la source primaire), « Corrigé » (valeur changée lors de cette vérification), « Confirmé (source secondaire) », « Estimation, non vérifiable ».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</si>
</sst>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;\-0.0%;\-"/>
    <numFmt numFmtId="166" formatCode="0.0"/>
    <numFmt numFmtId="167" formatCode="#,##0&quot; €&quot;;\-#,##0&quot; €&quot;;\-"/>
    <numFmt numFmtId="168" formatCode="#,##0.0;\-#,##0.0;\-"/>
    <numFmt numFmtId="169" formatCode="#,##0;\-#,##0;\-"/>
    <numFmt numFmtId="170" formatCode="#,##0.00&quot; Md€&quot;;\-#,##0.00&quot; Md€&quot;;\-"/>
    <numFmt numFmtId="171" formatCode="#,##0.00&quot; €&quot;;\-#,##0.00&quot; €&quot;;\-"/>
    <numFmt numFmtId="172" formatCode="0.00"/>
    <numFmt numFmtId="173" formatCode="0.0000"/>
    <numFmt numFmtId="174" formatCode="0.000"/>
    <numFmt numFmtId="175" formatCode="#,##0.0&quot; Md€&quot;;\-#,##0.0&quot; Md€&quot;;\-"/>
    <numFmt numFmtId="176" formatCode="0"/>
    <numFmt numFmtId="177" formatCode="0.00%;\-0.00%;\-"/>
    <numFmt numFmtId="178" formatCode="0.000;\-0.000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0E4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E8F0E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rees.solidarites-sante.gouv.fr/publications-communique-de-presse/250828_ER_depenses-de-sante" TargetMode="External"/><Relationship Id="rId2" Type="http://schemas.openxmlformats.org/officeDocument/2006/relationships/hyperlink" Target="https://drees.solidarites-sante.gouv.fr/publications-communique-de-presse/250828_ER_depenses-de-sante" TargetMode="External"/><Relationship Id="rId3" Type="http://schemas.openxmlformats.org/officeDocument/2006/relationships/hyperlink" Target="https://www.securite-sociale.fr/files/live/sites/SSFR/files/medias/CCSS/2026/CCSS%20mai%202026_assembl&#233;_V2.pdf" TargetMode="External"/><Relationship Id="rId4" Type="http://schemas.openxmlformats.org/officeDocument/2006/relationships/hyperlink" Target="https://questions.assemblee-nationale.fr/q17/17-161QE.htm" TargetMode="External"/><Relationship Id="rId5" Type="http://schemas.openxmlformats.org/officeDocument/2006/relationships/hyperlink" Target="https://www.insee.fr/fr/statistiques/5431993" TargetMode="External"/><Relationship Id="rId6" Type="http://schemas.openxmlformats.org/officeDocument/2006/relationships/hyperlink" Target="https://www.service-public.gouv.fr/particuliers/vosdroits/F2971" TargetMode="External"/><Relationship Id="rId7" Type="http://schemas.openxmlformats.org/officeDocument/2006/relationships/hyperlink" Target="https://www.ipp.eu/wp-content/uploads/2026/07/Chapitre_Desindexation_retraite___Rapport_Perspectives_Budgetaires_2027-4.pdf" TargetMode="External"/><Relationship Id="rId8" Type="http://schemas.openxmlformats.org/officeDocument/2006/relationships/hyperlink" Target="https://www.service-public.gouv.fr/particuliers/actualites/A17166" TargetMode="External"/><Relationship Id="rId9" Type="http://schemas.openxmlformats.org/officeDocument/2006/relationships/hyperlink" Target="https://data.drees.solidarites-sante.gouv.fr/explore/dataset/depenses-de-sante-et-restes-a-charge/information/" TargetMode="External"/><Relationship Id="rId10" Type="http://schemas.openxmlformats.org/officeDocument/2006/relationships/hyperlink" Target="https://www.publicsenat.fr/actualites/sante/consultations-medicales-la-ministre-de-la-sante-tempere-sur-la-hausse-du-ticket-moderateur" TargetMode="External"/><Relationship Id="rId11" Type="http://schemas.openxmlformats.org/officeDocument/2006/relationships/hyperlink" Target="https://www.legifrance.gouv.fr/jorf/jo/2026/08/22/0195" TargetMode="External"/><Relationship Id="rId12" Type="http://schemas.openxmlformats.org/officeDocument/2006/relationships/hyperlink" Target="https://www.securite-sociale.fr/files/live/sites/SSFR/files/medias/CCSS/2026/CCSS%20mai%202026_assembl&#233;_V2.pdf" TargetMode="External"/><Relationship Id="rId13" Type="http://schemas.openxmlformats.org/officeDocument/2006/relationships/hyperlink" Target="https://www.apmnews.com/documents/202510231649030.rapport_consolide_depassements_dhonoraires_VF_compressed.pdf" TargetMode="External"/><Relationship Id="rId14" Type="http://schemas.openxmlformats.org/officeDocument/2006/relationships/hyperlink" Target="https://www.legifrance.gouv.fr/codes/article_lc/LEGIARTI000042698839" TargetMode="External"/><Relationship Id="rId15" Type="http://schemas.openxmlformats.org/officeDocument/2006/relationships/hyperlink" Target="https://www.assemblee-nationale.fr/dyn/contenu/visualisation/1088679/file/PLFSS2026-Annexe4-20251014-183718-59-11_avec%20couverture-2.pdf" TargetMode="External"/><Relationship Id="rId16" Type="http://schemas.openxmlformats.org/officeDocument/2006/relationships/hyperlink" Target="https://drees.solidarites-sante.gouv.fr/communique-de-presse-jeux-de-donnees/jeux-de-donnees/250923_DATA_organismes-couvertures-compl&#233;mentaires-sant&#233;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rees.solidarites-sante.gouv.fr/publications-communique-de-presse/250828_ER_depenses-de-sante" TargetMode="External"/><Relationship Id="rId2" Type="http://schemas.openxmlformats.org/officeDocument/2006/relationships/hyperlink" Target="https://drees.solidarites-sante.gouv.fr/publications-communique-de-presse/250828_ER_depenses-de-sante" TargetMode="External"/><Relationship Id="rId3" Type="http://schemas.openxmlformats.org/officeDocument/2006/relationships/hyperlink" Target="https://www.ipp.eu/publication/comment-mettre-a-contribution-les-retraites-pour-le-redressement-des-finances-publiques/" TargetMode="External"/><Relationship Id="rId4" Type="http://schemas.openxmlformats.org/officeDocument/2006/relationships/hyperlink" Target="https://www.ipp.eu/publication/comment-mettre-a-contribution-les-retraites-pour-le-redressement-des-finances-publiques/" TargetMode="External"/><Relationship Id="rId5" Type="http://schemas.openxmlformats.org/officeDocument/2006/relationships/hyperlink" Target="https://www.securite-sociale.fr/files/live/sites/SSFR/files/medias/CCSS/2026/CCSS%20mai%202026_assembl&#233;_V2.pdf" TargetMode="External"/><Relationship Id="rId6" Type="http://schemas.openxmlformats.org/officeDocument/2006/relationships/hyperlink" Target="https://questions.assemblee-nationale.fr/q17/17-161QE.htm" TargetMode="External"/><Relationship Id="rId7" Type="http://schemas.openxmlformats.org/officeDocument/2006/relationships/hyperlink" Target="https://www.insee.fr/fr/statistiques/5431993" TargetMode="External"/><Relationship Id="rId8" Type="http://schemas.openxmlformats.org/officeDocument/2006/relationships/hyperlink" Target="https://data.drees.solidarites-sante.gouv.fr/explore/dataset/cns_financement/information/" TargetMode="External"/><Relationship Id="rId9" Type="http://schemas.openxmlformats.org/officeDocument/2006/relationships/hyperlink" Target="https://www.cor-retraites.fr/sites/default/files/2026-06/RA_2026_def.pdf" TargetMode="External"/><Relationship Id="rId10" Type="http://schemas.openxmlformats.org/officeDocument/2006/relationships/hyperlink" Target="https://www.service-public.gouv.fr/particuliers/actualites/A17166" TargetMode="External"/><Relationship Id="rId11" Type="http://schemas.openxmlformats.org/officeDocument/2006/relationships/hyperlink" Target="https://www.securite-sociale.fr/files/live/sites/SSFR/files/medias/CCSS/2026/CCSS%20mai%202026_assembl&#233;_V2.pdf" TargetMode="External"/><Relationship Id="rId12" Type="http://schemas.openxmlformats.org/officeDocument/2006/relationships/hyperlink" Target="https://data.drees.solidarites-sante.gouv.fr/explore/dataset/depenses-de-sante-et-restes-a-charge/information/" TargetMode="External"/><Relationship Id="rId13" Type="http://schemas.openxmlformats.org/officeDocument/2006/relationships/hyperlink" Target="https://www.publicsenat.fr/actualites/sante/consultations-medicales-la-ministre-de-la-sante-tempere-sur-la-hausse-du-ticket-moderateur" TargetMode="External"/><Relationship Id="rId14" Type="http://schemas.openxmlformats.org/officeDocument/2006/relationships/hyperlink" Target="https://www.legifrance.gouv.fr/jorf/jo/2026/08/22/0195" TargetMode="External"/><Relationship Id="rId15" Type="http://schemas.openxmlformats.org/officeDocument/2006/relationships/hyperlink" Target="https://www.securite-sociale.fr/files/live/sites/SSFR/files/medias/CCSS/2026/CCSS%20mai%202026_assembl&#233;_V2.pdf" TargetMode="External"/><Relationship Id="rId16" Type="http://schemas.openxmlformats.org/officeDocument/2006/relationships/hyperlink" Target="https://www.apmnews.com/documents/202510231649030.rapport_consolide_depassements_dhonoraires_VF_compressed.pdf" TargetMode="External"/><Relationship Id="rId17" Type="http://schemas.openxmlformats.org/officeDocument/2006/relationships/hyperlink" Target="https://www.apmnews.com/documents/202510231649030.rapport_consolide_depassements_dhonoraires_VF_compressed.pdf" TargetMode="External"/><Relationship Id="rId18" Type="http://schemas.openxmlformats.org/officeDocument/2006/relationships/hyperlink" Target="https://www.legifrance.gouv.fr/codes/article_lc/LEGIARTI000042698839" TargetMode="External"/><Relationship Id="rId19" Type="http://schemas.openxmlformats.org/officeDocument/2006/relationships/hyperlink" Target="https://www.assemblee-nationale.fr/dyn/contenu/visualisation/1088679/file/PLFSS2026-Annexe4-20251014-183718-59-11_avec%20couverture-2.pdf" TargetMode="External"/><Relationship Id="rId20" Type="http://schemas.openxmlformats.org/officeDocument/2006/relationships/hyperlink" Target="https://drees.solidarites-sante.gouv.fr/communique-de-presse-jeux-de-donnees/jeux-de-donnees/250923_DATA_organismes-couvertures-compl&#233;mentaires-sant&#233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23.8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3" t="s">
        <v>8</v>
      </c>
    </row>
    <row r="11" customFormat="false" ht="23.8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3" t="s">
        <v>10</v>
      </c>
    </row>
    <row r="13" customFormat="false" ht="23.85" hidden="false" customHeight="false" outlineLevel="0" collapsed="false">
      <c r="A13" s="4" t="s">
        <v>11</v>
      </c>
    </row>
    <row r="14" customFormat="false" ht="23.85" hidden="false" customHeight="false" outlineLevel="0" collapsed="false">
      <c r="A14" s="4" t="s">
        <v>12</v>
      </c>
    </row>
    <row r="16" customFormat="false" ht="15" hidden="false" customHeight="false" outlineLevel="0" collapsed="false">
      <c r="A16" s="5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6" t="s">
        <v>15</v>
      </c>
    </row>
    <row r="20" customFormat="false" ht="15" hidden="false" customHeight="false" outlineLevel="0" collapsed="false">
      <c r="A20" s="7" t="s">
        <v>16</v>
      </c>
    </row>
    <row r="21" customFormat="false" ht="15" hidden="false" customHeight="false" outlineLevel="0" collapsed="false">
      <c r="A21" s="5" t="s">
        <v>17</v>
      </c>
    </row>
    <row r="22" customFormat="false" ht="15" hidden="false" customHeight="false" outlineLevel="0" collapsed="false">
      <c r="A22" s="8" t="s">
        <v>18</v>
      </c>
    </row>
    <row r="23" customFormat="false" ht="15" hidden="false" customHeight="false" outlineLevel="0" collapsed="false">
      <c r="A23" s="9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8"/>
    <col collapsed="false" customWidth="true" hidden="false" outlineLevel="0" max="4" min="4" style="0" width="5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20</v>
      </c>
    </row>
    <row r="4" customFormat="false" ht="15" hidden="false" customHeight="false" outlineLevel="0" collapsed="false">
      <c r="A4" s="4" t="s">
        <v>21</v>
      </c>
      <c r="B4" s="6" t="s">
        <v>22</v>
      </c>
    </row>
    <row r="5" customFormat="false" ht="15" hidden="false" customHeight="false" outlineLevel="0" collapsed="false">
      <c r="A5" s="4" t="s">
        <v>23</v>
      </c>
      <c r="B5" s="10" t="n">
        <v>0.01</v>
      </c>
    </row>
    <row r="6" customFormat="false" ht="15" hidden="false" customHeight="false" outlineLevel="0" collapsed="false">
      <c r="A6" s="4" t="s">
        <v>24</v>
      </c>
      <c r="B6" s="6" t="s">
        <v>22</v>
      </c>
    </row>
    <row r="7" customFormat="false" ht="15" hidden="false" customHeight="false" outlineLevel="0" collapsed="false">
      <c r="A7" s="4" t="s">
        <v>25</v>
      </c>
      <c r="B7" s="11" t="n">
        <v>10</v>
      </c>
    </row>
    <row r="8" customFormat="false" ht="15" hidden="false" customHeight="false" outlineLevel="0" collapsed="false">
      <c r="A8" s="4" t="s">
        <v>26</v>
      </c>
      <c r="B8" s="12" t="n">
        <v>2500</v>
      </c>
    </row>
    <row r="9" customFormat="false" ht="15" hidden="false" customHeight="false" outlineLevel="0" collapsed="false">
      <c r="A9" s="4" t="s">
        <v>27</v>
      </c>
      <c r="B9" s="6" t="s">
        <v>28</v>
      </c>
    </row>
    <row r="10" customFormat="false" ht="15" hidden="false" customHeight="false" outlineLevel="0" collapsed="false">
      <c r="A10" s="3" t="s">
        <v>29</v>
      </c>
    </row>
    <row r="11" customFormat="false" ht="15" hidden="false" customHeight="false" outlineLevel="0" collapsed="false">
      <c r="A11" s="13" t="s">
        <v>30</v>
      </c>
      <c r="B11" s="13" t="s">
        <v>31</v>
      </c>
      <c r="C11" s="13" t="s">
        <v>32</v>
      </c>
      <c r="D11" s="13" t="s">
        <v>33</v>
      </c>
      <c r="E11" s="13" t="s">
        <v>34</v>
      </c>
    </row>
    <row r="12" customFormat="false" ht="15" hidden="false" customHeight="false" outlineLevel="0" collapsed="false">
      <c r="A12" s="4" t="s">
        <v>35</v>
      </c>
      <c r="B12" s="14" t="n">
        <v>0.092</v>
      </c>
      <c r="C12" s="4" t="s">
        <v>36</v>
      </c>
      <c r="D12" s="4" t="s">
        <v>37</v>
      </c>
      <c r="E12" s="4" t="s">
        <v>38</v>
      </c>
    </row>
    <row r="13" customFormat="false" ht="15" hidden="false" customHeight="false" outlineLevel="0" collapsed="false">
      <c r="A13" s="4" t="s">
        <v>39</v>
      </c>
      <c r="B13" s="14" t="n">
        <v>0.083</v>
      </c>
      <c r="C13" s="4" t="s">
        <v>36</v>
      </c>
      <c r="D13" s="4" t="s">
        <v>40</v>
      </c>
      <c r="E13" s="4" t="s">
        <v>41</v>
      </c>
    </row>
    <row r="14" customFormat="false" ht="15" hidden="false" customHeight="false" outlineLevel="0" collapsed="false">
      <c r="A14" s="4" t="s">
        <v>42</v>
      </c>
      <c r="B14" s="15" t="n">
        <v>190.5</v>
      </c>
      <c r="C14" s="4" t="s">
        <v>43</v>
      </c>
      <c r="D14" s="4" t="s">
        <v>44</v>
      </c>
      <c r="E14" s="4" t="s">
        <v>45</v>
      </c>
    </row>
    <row r="15" customFormat="false" ht="15" hidden="false" customHeight="false" outlineLevel="0" collapsed="false">
      <c r="A15" s="4" t="s">
        <v>46</v>
      </c>
      <c r="B15" s="15" t="n">
        <v>118.7</v>
      </c>
      <c r="C15" s="4" t="s">
        <v>43</v>
      </c>
      <c r="D15" s="4" t="s">
        <v>44</v>
      </c>
      <c r="E15" s="4" t="s">
        <v>47</v>
      </c>
    </row>
    <row r="16" customFormat="false" ht="23.85" hidden="false" customHeight="false" outlineLevel="0" collapsed="false">
      <c r="A16" s="4" t="s">
        <v>48</v>
      </c>
      <c r="B16" s="14" t="n">
        <v>0.67</v>
      </c>
      <c r="C16" s="4" t="s">
        <v>43</v>
      </c>
      <c r="D16" s="4" t="s">
        <v>49</v>
      </c>
      <c r="E16" s="4" t="s">
        <v>50</v>
      </c>
    </row>
    <row r="17" customFormat="false" ht="23.85" hidden="false" customHeight="false" outlineLevel="0" collapsed="false">
      <c r="A17" s="4" t="s">
        <v>51</v>
      </c>
      <c r="B17" s="14" t="n">
        <v>0.778</v>
      </c>
      <c r="C17" s="4" t="s">
        <v>43</v>
      </c>
      <c r="D17" s="4" t="s">
        <v>52</v>
      </c>
      <c r="E17" s="4" t="s">
        <v>53</v>
      </c>
    </row>
    <row r="18" customFormat="false" ht="23.85" hidden="false" customHeight="false" outlineLevel="0" collapsed="false">
      <c r="A18" s="4" t="s">
        <v>54</v>
      </c>
      <c r="B18" s="16" t="n">
        <v>17300000</v>
      </c>
      <c r="C18" s="4" t="s">
        <v>55</v>
      </c>
      <c r="D18" s="4" t="s">
        <v>56</v>
      </c>
      <c r="E18" s="4" t="s">
        <v>57</v>
      </c>
    </row>
    <row r="19" customFormat="false" ht="15" hidden="false" customHeight="false" outlineLevel="0" collapsed="false">
      <c r="A19" s="4" t="s">
        <v>58</v>
      </c>
      <c r="B19" s="14" t="n">
        <v>0.29</v>
      </c>
      <c r="C19" s="4" t="s">
        <v>55</v>
      </c>
      <c r="D19" s="4" t="s">
        <v>59</v>
      </c>
      <c r="E19" s="4" t="s">
        <v>60</v>
      </c>
    </row>
    <row r="20" customFormat="false" ht="15" hidden="false" customHeight="false" outlineLevel="0" collapsed="false">
      <c r="A20" s="4" t="s">
        <v>61</v>
      </c>
      <c r="B20" s="14" t="n">
        <v>0.27</v>
      </c>
      <c r="C20" s="4" t="s">
        <v>55</v>
      </c>
      <c r="D20" s="4" t="s">
        <v>59</v>
      </c>
      <c r="E20" s="4" t="s">
        <v>60</v>
      </c>
    </row>
    <row r="21" customFormat="false" ht="15" hidden="false" customHeight="false" outlineLevel="0" collapsed="false">
      <c r="A21" s="4" t="s">
        <v>62</v>
      </c>
      <c r="B21" s="15" t="n">
        <v>-13.8</v>
      </c>
      <c r="C21" s="4" t="s">
        <v>55</v>
      </c>
      <c r="D21" s="4" t="s">
        <v>63</v>
      </c>
      <c r="E21" s="4" t="s">
        <v>64</v>
      </c>
    </row>
    <row r="22" customFormat="false" ht="23.85" hidden="false" customHeight="false" outlineLevel="0" collapsed="false">
      <c r="A22" s="4" t="s">
        <v>65</v>
      </c>
      <c r="B22" s="14" t="n">
        <v>0.01</v>
      </c>
      <c r="C22" s="4" t="s">
        <v>36</v>
      </c>
      <c r="D22" s="4" t="s">
        <v>66</v>
      </c>
      <c r="E22" s="4" t="s">
        <v>67</v>
      </c>
    </row>
    <row r="24" customFormat="false" ht="15" hidden="false" customHeight="false" outlineLevel="0" collapsed="false">
      <c r="A24" s="3" t="s">
        <v>68</v>
      </c>
    </row>
    <row r="25" customFormat="false" ht="15" hidden="false" customHeight="false" outlineLevel="0" collapsed="false">
      <c r="A25" s="4" t="s">
        <v>69</v>
      </c>
      <c r="B25" s="17" t="n">
        <f aca="false">IF(Leviers!$B$4="Oui",Leviers!$B$14*(Leviers!$B$12-Leviers!$B$13),0)</f>
        <v>1.7145</v>
      </c>
    </row>
    <row r="26" customFormat="false" ht="15" hidden="false" customHeight="false" outlineLevel="0" collapsed="false">
      <c r="A26" s="4" t="s">
        <v>70</v>
      </c>
      <c r="B26" s="17" t="n">
        <f aca="false">Leviers!$B$5*(Leviers!$B$15+Leviers!$B$14)*Leviers!$B$16</f>
        <v>2.07164</v>
      </c>
    </row>
    <row r="27" customFormat="false" ht="15" hidden="false" customHeight="false" outlineLevel="0" collapsed="false">
      <c r="A27" s="4" t="s">
        <v>71</v>
      </c>
      <c r="B27" s="18" t="n">
        <f aca="false">B25+B26</f>
        <v>3.78614</v>
      </c>
    </row>
    <row r="28" customFormat="false" ht="15" hidden="false" customHeight="false" outlineLevel="0" collapsed="false">
      <c r="A28" s="4" t="s">
        <v>72</v>
      </c>
      <c r="B28" s="19" t="n">
        <f aca="false">Usagers!$B$54</f>
        <v>0</v>
      </c>
    </row>
    <row r="29" customFormat="false" ht="15" hidden="false" customHeight="false" outlineLevel="0" collapsed="false">
      <c r="A29" s="4" t="s">
        <v>73</v>
      </c>
      <c r="B29" s="20" t="n">
        <f aca="false">IF(Leviers!$B$6="Oui",Bouclier!$C$44,0)</f>
        <v>3.36503053059671</v>
      </c>
    </row>
    <row r="30" customFormat="false" ht="15" hidden="false" customHeight="false" outlineLevel="0" collapsed="false">
      <c r="A30" s="4" t="s">
        <v>74</v>
      </c>
      <c r="B30" s="18" t="n">
        <f aca="false">B27+B28-B29</f>
        <v>0.421109469403286</v>
      </c>
    </row>
    <row r="31" customFormat="false" ht="15" hidden="false" customHeight="false" outlineLevel="0" collapsed="false">
      <c r="A31" s="4" t="s">
        <v>75</v>
      </c>
      <c r="B31" s="21" t="n">
        <f aca="false">IF(B30&gt;0,B30/ABS(Leviers!$B$21),0)</f>
        <v>0.0305151789422671</v>
      </c>
    </row>
    <row r="32" customFormat="false" ht="15" hidden="false" customHeight="false" outlineLevel="0" collapsed="false">
      <c r="A32" s="4" t="s">
        <v>76</v>
      </c>
      <c r="B32" s="22" t="n">
        <f aca="false">IF(Leviers!$B$6="Oui",Bouclier!$C$45,0)</f>
        <v>1942105.26315789</v>
      </c>
    </row>
    <row r="33" customFormat="false" ht="15" hidden="false" customHeight="false" outlineLevel="0" collapsed="false">
      <c r="A33" s="4" t="s">
        <v>77</v>
      </c>
      <c r="B33" s="23" t="n">
        <f aca="false">IF(Leviers!$B$6="Oui",Bouclier!$C$46,0)</f>
        <v>0.769728718167841</v>
      </c>
    </row>
    <row r="34" customFormat="false" ht="15" hidden="false" customHeight="false" outlineLevel="0" collapsed="false">
      <c r="A34" s="4" t="s">
        <v>78</v>
      </c>
      <c r="B34" s="23" t="n">
        <f aca="false">IF(Leviers!$B$6="Oui",Bouclier!$C$47,0)</f>
        <v>0.576721669350922</v>
      </c>
    </row>
    <row r="35" customFormat="false" ht="15" hidden="false" customHeight="false" outlineLevel="0" collapsed="false">
      <c r="A35" s="4" t="s">
        <v>79</v>
      </c>
      <c r="B35" s="24" t="n">
        <f aca="false">MAX(IF(Leviers!$B$4="Oui",Leviers!$B$19,0),IF(Leviers!$B$5&gt;0,Leviers!$B$19+Leviers!$B$20,0))*Leviers!$B$18</f>
        <v>9688000</v>
      </c>
    </row>
    <row r="36" customFormat="false" ht="23.85" hidden="false" customHeight="false" outlineLevel="0" collapsed="false">
      <c r="A36" s="4" t="s">
        <v>80</v>
      </c>
      <c r="B36" s="20" t="n">
        <f aca="false">B27+Usagers!$B$57-B29*B33</f>
        <v>1.19597936308814</v>
      </c>
    </row>
    <row r="37" customFormat="false" ht="15" hidden="false" customHeight="false" outlineLevel="0" collapsed="false">
      <c r="A37" s="4" t="s">
        <v>81</v>
      </c>
      <c r="B37" s="25" t="n">
        <f aca="false">Leviers!$B$8*(IF(AND(Leviers!$B$4="Oui",Leviers!$B$9="normal"),Leviers!$B$12-Leviers!$B$13,0)+IF(OR(Leviers!$B$9="median",Leviers!$B$9="normal"),Leviers!$B$5*Leviers!$B$16,0))</f>
        <v>39.25</v>
      </c>
    </row>
  </sheetData>
  <dataValidations count="3">
    <dataValidation allowBlank="false" errorStyle="stop" operator="between" showDropDown="false" showErrorMessage="false" showInputMessage="false" sqref="B4" type="list">
      <formula1>"Oui,Non"</formula1>
      <formula2>0</formula2>
    </dataValidation>
    <dataValidation allowBlank="false" errorStyle="stop" operator="between" showDropDown="false" showErrorMessage="false" showInputMessage="false" sqref="B6" type="list">
      <formula1>"Oui,Non"</formula1>
      <formula2>0</formula2>
    </dataValidation>
    <dataValidation allowBlank="false" errorStyle="stop" operator="between" showDropDown="false" showErrorMessage="false" showInputMessage="false" sqref="B9" type="list">
      <formula1>"exonere,reduit,median,normal"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6" min="3" style="0" width="11"/>
    <col collapsed="false" customWidth="true" hidden="false" outlineLevel="0" max="10" min="7" style="0" width="13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35.05" hidden="false" customHeight="false" outlineLevel="0" collapsed="false">
      <c r="A4" s="13" t="s">
        <v>84</v>
      </c>
      <c r="B4" s="13" t="s">
        <v>85</v>
      </c>
      <c r="C4" s="13" t="s">
        <v>86</v>
      </c>
      <c r="D4" s="13" t="s">
        <v>87</v>
      </c>
      <c r="E4" s="13" t="s">
        <v>88</v>
      </c>
      <c r="F4" s="13" t="s">
        <v>89</v>
      </c>
      <c r="G4" s="13" t="s">
        <v>90</v>
      </c>
      <c r="H4" s="13" t="s">
        <v>91</v>
      </c>
      <c r="I4" s="13" t="s">
        <v>92</v>
      </c>
      <c r="J4" s="13" t="s">
        <v>93</v>
      </c>
    </row>
    <row r="5" customFormat="false" ht="23.85" hidden="false" customHeight="false" outlineLevel="0" collapsed="false">
      <c r="A5" s="5" t="s">
        <v>94</v>
      </c>
      <c r="B5" s="4" t="s">
        <v>95</v>
      </c>
      <c r="C5" s="26" t="n">
        <v>11.42</v>
      </c>
      <c r="D5" s="26" t="n">
        <v>2.38</v>
      </c>
      <c r="E5" s="26" t="n">
        <v>1.53</v>
      </c>
      <c r="F5" s="27" t="n">
        <f aca="false">SUM(C5:E5)</f>
        <v>15.33</v>
      </c>
      <c r="I5" s="27" t="n">
        <f aca="false">0</f>
        <v>0</v>
      </c>
      <c r="J5" s="28" t="n">
        <f aca="false">E5*Usagers!$B$59/Usagers!$B$63+D5*Usagers!$B$61/Usagers!$B$65+100*Usagers!$E$54/Usagers!$B$67</f>
        <v>0</v>
      </c>
    </row>
    <row r="6" customFormat="false" ht="23.85" hidden="false" customHeight="false" outlineLevel="0" collapsed="false">
      <c r="A6" s="5" t="s">
        <v>94</v>
      </c>
      <c r="B6" s="4" t="s">
        <v>96</v>
      </c>
      <c r="C6" s="26" t="n">
        <v>6.32</v>
      </c>
      <c r="D6" s="26" t="n">
        <v>6</v>
      </c>
      <c r="E6" s="26" t="n">
        <v>1.94</v>
      </c>
      <c r="F6" s="27" t="n">
        <f aca="false">SUM(C6:E6)</f>
        <v>14.26</v>
      </c>
      <c r="G6" s="10" t="n">
        <v>0</v>
      </c>
      <c r="H6" s="10" t="n">
        <v>0</v>
      </c>
      <c r="I6" s="27" t="n">
        <f aca="false">100*Leviers!$B$17*(IF(Leviers!$B$4="Oui",Leviers!$B$12-Leviers!$B$13,0)*G6+Leviers!$B$5*Leviers!$B$16*H6)</f>
        <v>0</v>
      </c>
      <c r="J6" s="28" t="n">
        <f aca="false">E6*Usagers!$B$60/Usagers!$B$64+D6*Usagers!$B$62/Usagers!$B$66</f>
        <v>0</v>
      </c>
    </row>
    <row r="7" customFormat="false" ht="15" hidden="false" customHeight="false" outlineLevel="0" collapsed="false">
      <c r="A7" s="5" t="s">
        <v>97</v>
      </c>
      <c r="B7" s="4" t="s">
        <v>98</v>
      </c>
      <c r="C7" s="26" t="n">
        <v>12.59</v>
      </c>
      <c r="D7" s="26" t="n">
        <v>2.15</v>
      </c>
      <c r="E7" s="26" t="n">
        <v>0.92</v>
      </c>
      <c r="F7" s="27" t="n">
        <f aca="false">SUM(C7:E7)</f>
        <v>15.66</v>
      </c>
      <c r="I7" s="27" t="n">
        <f aca="false">0</f>
        <v>0</v>
      </c>
      <c r="J7" s="28" t="n">
        <f aca="false">E7*Usagers!$B$59/Usagers!$B$63+D7*Usagers!$B$61/Usagers!$B$65+100*Usagers!$E$54/Usagers!$B$67</f>
        <v>0</v>
      </c>
    </row>
    <row r="8" customFormat="false" ht="15" hidden="false" customHeight="false" outlineLevel="0" collapsed="false">
      <c r="A8" s="5" t="s">
        <v>97</v>
      </c>
      <c r="B8" s="4" t="s">
        <v>99</v>
      </c>
      <c r="C8" s="26" t="n">
        <v>6.13</v>
      </c>
      <c r="D8" s="26" t="n">
        <v>5.81</v>
      </c>
      <c r="E8" s="26" t="n">
        <v>1.63</v>
      </c>
      <c r="F8" s="27" t="n">
        <f aca="false">SUM(C8:E8)</f>
        <v>13.57</v>
      </c>
      <c r="G8" s="10" t="n">
        <v>0</v>
      </c>
      <c r="H8" s="10" t="n">
        <v>0.6</v>
      </c>
      <c r="I8" s="27" t="n">
        <f aca="false">100*Leviers!$B$17*(IF(Leviers!$B$4="Oui",Leviers!$B$12-Leviers!$B$13,0)*G8+Leviers!$B$5*Leviers!$B$16*H8)</f>
        <v>0.312756</v>
      </c>
      <c r="J8" s="28" t="n">
        <f aca="false">E8*Usagers!$B$60/Usagers!$B$64+D8*Usagers!$B$62/Usagers!$B$66</f>
        <v>0</v>
      </c>
    </row>
    <row r="9" customFormat="false" ht="15" hidden="false" customHeight="false" outlineLevel="0" collapsed="false">
      <c r="A9" s="5" t="s">
        <v>100</v>
      </c>
      <c r="B9" s="4" t="s">
        <v>101</v>
      </c>
      <c r="C9" s="26" t="n">
        <v>14.06</v>
      </c>
      <c r="D9" s="26" t="n">
        <v>1.79</v>
      </c>
      <c r="E9" s="26" t="n">
        <v>0.71</v>
      </c>
      <c r="F9" s="27" t="n">
        <f aca="false">SUM(C9:E9)</f>
        <v>16.56</v>
      </c>
      <c r="I9" s="27" t="n">
        <f aca="false">0</f>
        <v>0</v>
      </c>
      <c r="J9" s="28" t="n">
        <f aca="false">E9*Usagers!$B$59/Usagers!$B$63+D9*Usagers!$B$61/Usagers!$B$65+100*Usagers!$E$54/Usagers!$B$67</f>
        <v>0</v>
      </c>
    </row>
    <row r="10" customFormat="false" ht="15" hidden="false" customHeight="false" outlineLevel="0" collapsed="false">
      <c r="A10" s="5" t="s">
        <v>100</v>
      </c>
      <c r="B10" s="4" t="s">
        <v>102</v>
      </c>
      <c r="C10" s="26" t="n">
        <v>7.19</v>
      </c>
      <c r="D10" s="26" t="n">
        <v>4.53</v>
      </c>
      <c r="E10" s="26" t="n">
        <v>1.47</v>
      </c>
      <c r="F10" s="27" t="n">
        <f aca="false">SUM(C10:E10)</f>
        <v>13.19</v>
      </c>
      <c r="G10" s="10" t="n">
        <v>0.5</v>
      </c>
      <c r="H10" s="10" t="n">
        <v>1</v>
      </c>
      <c r="I10" s="27" t="n">
        <f aca="false">100*Leviers!$B$17*(IF(Leviers!$B$4="Oui",Leviers!$B$12-Leviers!$B$13,0)*G10+Leviers!$B$5*Leviers!$B$16*H10)</f>
        <v>0.87136</v>
      </c>
      <c r="J10" s="28" t="n">
        <f aca="false">E10*Usagers!$B$60/Usagers!$B$64+D10*Usagers!$B$62/Usagers!$B$66</f>
        <v>0</v>
      </c>
    </row>
    <row r="11" customFormat="false" ht="15" hidden="false" customHeight="false" outlineLevel="0" collapsed="false">
      <c r="A11" s="5" t="s">
        <v>103</v>
      </c>
      <c r="B11" s="4" t="s">
        <v>104</v>
      </c>
      <c r="C11" s="26" t="n">
        <v>15.41</v>
      </c>
      <c r="D11" s="26" t="n">
        <v>1.56</v>
      </c>
      <c r="E11" s="26" t="n">
        <v>0.57</v>
      </c>
      <c r="F11" s="27" t="n">
        <f aca="false">SUM(C11:E11)</f>
        <v>17.54</v>
      </c>
      <c r="I11" s="27" t="n">
        <f aca="false">0</f>
        <v>0</v>
      </c>
      <c r="J11" s="28" t="n">
        <f aca="false">E11*Usagers!$B$59/Usagers!$B$63+D11*Usagers!$B$61/Usagers!$B$65+100*Usagers!$E$54/Usagers!$B$67</f>
        <v>0</v>
      </c>
    </row>
    <row r="12" customFormat="false" ht="15" hidden="false" customHeight="false" outlineLevel="0" collapsed="false">
      <c r="A12" s="5" t="s">
        <v>103</v>
      </c>
      <c r="B12" s="4" t="s">
        <v>105</v>
      </c>
      <c r="C12" s="26" t="n">
        <v>8.18</v>
      </c>
      <c r="D12" s="26" t="n">
        <v>3.46</v>
      </c>
      <c r="E12" s="26" t="n">
        <v>1.49</v>
      </c>
      <c r="F12" s="27" t="n">
        <f aca="false">SUM(C12:E12)</f>
        <v>13.13</v>
      </c>
      <c r="G12" s="10" t="n">
        <v>1</v>
      </c>
      <c r="H12" s="10" t="n">
        <v>1</v>
      </c>
      <c r="I12" s="27" t="n">
        <f aca="false">100*Leviers!$B$17*(IF(Leviers!$B$4="Oui",Leviers!$B$12-Leviers!$B$13,0)*G12+Leviers!$B$5*Leviers!$B$16*H12)</f>
        <v>1.22146</v>
      </c>
      <c r="J12" s="28" t="n">
        <f aca="false">E12*Usagers!$B$60/Usagers!$B$64+D12*Usagers!$B$62/Usagers!$B$66</f>
        <v>0</v>
      </c>
    </row>
    <row r="13" customFormat="false" ht="15" hidden="false" customHeight="false" outlineLevel="0" collapsed="false">
      <c r="A13" s="5" t="s">
        <v>106</v>
      </c>
      <c r="B13" s="4" t="s">
        <v>107</v>
      </c>
      <c r="C13" s="26" t="n">
        <v>16.16</v>
      </c>
      <c r="D13" s="26" t="n">
        <v>1.13</v>
      </c>
      <c r="E13" s="26" t="n">
        <v>0.41</v>
      </c>
      <c r="F13" s="27" t="n">
        <f aca="false">SUM(C13:E13)</f>
        <v>17.7</v>
      </c>
      <c r="I13" s="27" t="n">
        <f aca="false">0</f>
        <v>0</v>
      </c>
      <c r="J13" s="28" t="n">
        <f aca="false">E13*Usagers!$B$59/Usagers!$B$63+D13*Usagers!$B$61/Usagers!$B$65+100*Usagers!$E$54/Usagers!$B$67</f>
        <v>0</v>
      </c>
    </row>
    <row r="14" customFormat="false" ht="15" hidden="false" customHeight="false" outlineLevel="0" collapsed="false">
      <c r="A14" s="5" t="s">
        <v>106</v>
      </c>
      <c r="B14" s="4" t="s">
        <v>108</v>
      </c>
      <c r="C14" s="26" t="n">
        <v>7.74</v>
      </c>
      <c r="D14" s="26" t="n">
        <v>2.37</v>
      </c>
      <c r="E14" s="26" t="n">
        <v>1.14</v>
      </c>
      <c r="F14" s="27" t="n">
        <f aca="false">SUM(C14:E14)</f>
        <v>11.25</v>
      </c>
      <c r="G14" s="10" t="n">
        <v>1</v>
      </c>
      <c r="H14" s="10" t="n">
        <v>1</v>
      </c>
      <c r="I14" s="27" t="n">
        <f aca="false">100*Leviers!$B$17*(IF(Leviers!$B$4="Oui",Leviers!$B$12-Leviers!$B$13,0)*G14+Leviers!$B$5*Leviers!$B$16*H14)</f>
        <v>1.22146</v>
      </c>
      <c r="J14" s="28" t="n">
        <f aca="false">E14*Usagers!$B$60/Usagers!$B$64+D14*Usagers!$B$62/Usagers!$B$66</f>
        <v>0</v>
      </c>
    </row>
    <row r="16" customFormat="false" ht="23.85" hidden="false" customHeight="false" outlineLevel="0" collapsed="false">
      <c r="A16" s="13" t="s">
        <v>84</v>
      </c>
      <c r="B16" s="13"/>
      <c r="C16" s="13" t="s">
        <v>109</v>
      </c>
      <c r="D16" s="13" t="s">
        <v>110</v>
      </c>
      <c r="E16" s="13" t="s">
        <v>111</v>
      </c>
      <c r="F16" s="13" t="s">
        <v>112</v>
      </c>
      <c r="G16" s="13" t="s">
        <v>113</v>
      </c>
      <c r="H16" s="13" t="s">
        <v>114</v>
      </c>
    </row>
    <row r="17" customFormat="false" ht="15" hidden="false" customHeight="false" outlineLevel="0" collapsed="false">
      <c r="A17" s="5" t="s">
        <v>94</v>
      </c>
      <c r="C17" s="27" t="n">
        <f aca="false">F5</f>
        <v>15.33</v>
      </c>
      <c r="D17" s="27" t="n">
        <f aca="false">F6</f>
        <v>14.26</v>
      </c>
      <c r="E17" s="29" t="n">
        <f aca="false">F6+I6+J6</f>
        <v>14.26</v>
      </c>
      <c r="F17" s="27" t="n">
        <f aca="false">C17-D17</f>
        <v>1.07</v>
      </c>
      <c r="G17" s="27" t="n">
        <f aca="false">H17-E17</f>
        <v>1.07</v>
      </c>
      <c r="H17" s="29" t="n">
        <f aca="false">F5+J5</f>
        <v>15.33</v>
      </c>
    </row>
    <row r="18" customFormat="false" ht="15" hidden="false" customHeight="false" outlineLevel="0" collapsed="false">
      <c r="A18" s="5" t="s">
        <v>97</v>
      </c>
      <c r="C18" s="27" t="n">
        <f aca="false">F7</f>
        <v>15.66</v>
      </c>
      <c r="D18" s="27" t="n">
        <f aca="false">F8</f>
        <v>13.57</v>
      </c>
      <c r="E18" s="29" t="n">
        <f aca="false">F8+I8+J8</f>
        <v>13.882756</v>
      </c>
      <c r="F18" s="27" t="n">
        <f aca="false">C18-D18</f>
        <v>2.09</v>
      </c>
      <c r="G18" s="27" t="n">
        <f aca="false">H18-E18</f>
        <v>1.777244</v>
      </c>
      <c r="H18" s="29" t="n">
        <f aca="false">F7+J7</f>
        <v>15.66</v>
      </c>
    </row>
    <row r="19" customFormat="false" ht="15" hidden="false" customHeight="false" outlineLevel="0" collapsed="false">
      <c r="A19" s="5" t="s">
        <v>100</v>
      </c>
      <c r="C19" s="27" t="n">
        <f aca="false">F9</f>
        <v>16.56</v>
      </c>
      <c r="D19" s="27" t="n">
        <f aca="false">F10</f>
        <v>13.19</v>
      </c>
      <c r="E19" s="29" t="n">
        <f aca="false">F10+I10+J10</f>
        <v>14.06136</v>
      </c>
      <c r="F19" s="27" t="n">
        <f aca="false">C19-D19</f>
        <v>3.37</v>
      </c>
      <c r="G19" s="27" t="n">
        <f aca="false">H19-E19</f>
        <v>2.49864</v>
      </c>
      <c r="H19" s="29" t="n">
        <f aca="false">F9+J9</f>
        <v>16.56</v>
      </c>
    </row>
    <row r="20" customFormat="false" ht="15" hidden="false" customHeight="false" outlineLevel="0" collapsed="false">
      <c r="A20" s="5" t="s">
        <v>103</v>
      </c>
      <c r="C20" s="27" t="n">
        <f aca="false">F11</f>
        <v>17.54</v>
      </c>
      <c r="D20" s="27" t="n">
        <f aca="false">F12</f>
        <v>13.13</v>
      </c>
      <c r="E20" s="29" t="n">
        <f aca="false">F12+I12+J12</f>
        <v>14.35146</v>
      </c>
      <c r="F20" s="27" t="n">
        <f aca="false">C20-D20</f>
        <v>4.41</v>
      </c>
      <c r="G20" s="27" t="n">
        <f aca="false">H20-E20</f>
        <v>3.18854</v>
      </c>
      <c r="H20" s="29" t="n">
        <f aca="false">F11+J11</f>
        <v>17.54</v>
      </c>
    </row>
    <row r="21" customFormat="false" ht="15" hidden="false" customHeight="false" outlineLevel="0" collapsed="false">
      <c r="A21" s="5" t="s">
        <v>106</v>
      </c>
      <c r="C21" s="27" t="n">
        <f aca="false">F13</f>
        <v>17.7</v>
      </c>
      <c r="D21" s="27" t="n">
        <f aca="false">F14</f>
        <v>11.25</v>
      </c>
      <c r="E21" s="29" t="n">
        <f aca="false">F14+I14+J14</f>
        <v>12.47146</v>
      </c>
      <c r="F21" s="27" t="n">
        <f aca="false">C21-D21</f>
        <v>6.45</v>
      </c>
      <c r="G21" s="27" t="n">
        <f aca="false">H21-E21</f>
        <v>5.22854</v>
      </c>
      <c r="H21" s="29" t="n">
        <f aca="false">F13+J13</f>
        <v>17.7</v>
      </c>
    </row>
    <row r="23" customFormat="false" ht="15" hidden="false" customHeight="false" outlineLevel="0" collapsed="false">
      <c r="A23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9" min="6" style="0" width="12"/>
    <col collapsed="false" customWidth="true" hidden="false" outlineLevel="0" max="13" min="10" style="0" width="14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3" t="s">
        <v>118</v>
      </c>
    </row>
    <row r="5" customFormat="false" ht="23.85" hidden="false" customHeight="false" outlineLevel="0" collapsed="false">
      <c r="A5" s="13" t="s">
        <v>119</v>
      </c>
      <c r="B5" s="13" t="s">
        <v>120</v>
      </c>
      <c r="C5" s="13" t="s">
        <v>121</v>
      </c>
      <c r="D5" s="13" t="s">
        <v>122</v>
      </c>
      <c r="E5" s="13" t="s">
        <v>123</v>
      </c>
    </row>
    <row r="6" customFormat="false" ht="15" hidden="false" customHeight="false" outlineLevel="0" collapsed="false">
      <c r="A6" s="5" t="s">
        <v>124</v>
      </c>
      <c r="B6" s="14" t="n">
        <v>0.1</v>
      </c>
      <c r="C6" s="26" t="n">
        <v>0.28</v>
      </c>
      <c r="D6" s="26" t="n">
        <v>9.02</v>
      </c>
      <c r="E6" s="26" t="n">
        <v>4.21</v>
      </c>
    </row>
    <row r="7" customFormat="false" ht="15" hidden="false" customHeight="false" outlineLevel="0" collapsed="false">
      <c r="A7" s="5" t="s">
        <v>125</v>
      </c>
      <c r="B7" s="14" t="n">
        <v>0.1</v>
      </c>
      <c r="C7" s="26" t="n">
        <v>1.21</v>
      </c>
      <c r="D7" s="26" t="n">
        <v>5.57</v>
      </c>
      <c r="E7" s="26" t="n">
        <v>4.37</v>
      </c>
    </row>
    <row r="8" customFormat="false" ht="15" hidden="false" customHeight="false" outlineLevel="0" collapsed="false">
      <c r="A8" s="5" t="s">
        <v>126</v>
      </c>
      <c r="B8" s="14" t="n">
        <v>0.1</v>
      </c>
      <c r="C8" s="26" t="n">
        <v>1.85</v>
      </c>
      <c r="D8" s="26" t="n">
        <v>3.15</v>
      </c>
      <c r="E8" s="26" t="n">
        <v>7.63</v>
      </c>
    </row>
    <row r="9" customFormat="false" ht="15" hidden="false" customHeight="false" outlineLevel="0" collapsed="false">
      <c r="A9" s="5" t="s">
        <v>127</v>
      </c>
      <c r="B9" s="14" t="n">
        <v>0.1</v>
      </c>
      <c r="C9" s="26" t="n">
        <v>2.46</v>
      </c>
      <c r="D9" s="26" t="n">
        <v>2.49</v>
      </c>
      <c r="E9" s="26" t="n">
        <v>12.68</v>
      </c>
    </row>
    <row r="10" customFormat="false" ht="15" hidden="false" customHeight="false" outlineLevel="0" collapsed="false">
      <c r="A10" s="5" t="s">
        <v>128</v>
      </c>
      <c r="B10" s="14" t="n">
        <v>0.1</v>
      </c>
      <c r="C10" s="26" t="n">
        <v>3.07</v>
      </c>
      <c r="D10" s="26" t="n">
        <v>3.39</v>
      </c>
      <c r="E10" s="26" t="n">
        <v>20.18</v>
      </c>
    </row>
    <row r="11" customFormat="false" ht="15" hidden="false" customHeight="false" outlineLevel="0" collapsed="false">
      <c r="A11" s="5" t="s">
        <v>129</v>
      </c>
      <c r="B11" s="14" t="n">
        <v>0.1</v>
      </c>
      <c r="C11" s="26" t="n">
        <v>3.75</v>
      </c>
      <c r="D11" s="26" t="n">
        <v>5.41</v>
      </c>
      <c r="E11" s="26" t="n">
        <v>27.75</v>
      </c>
    </row>
    <row r="12" customFormat="false" ht="15" hidden="false" customHeight="false" outlineLevel="0" collapsed="false">
      <c r="A12" s="5" t="s">
        <v>130</v>
      </c>
      <c r="B12" s="14" t="n">
        <v>0.1</v>
      </c>
      <c r="C12" s="26" t="n">
        <v>4.58</v>
      </c>
      <c r="D12" s="26" t="n">
        <v>9.84</v>
      </c>
      <c r="E12" s="26" t="n">
        <v>36.95</v>
      </c>
    </row>
    <row r="13" customFormat="false" ht="15" hidden="false" customHeight="false" outlineLevel="0" collapsed="false">
      <c r="A13" s="5" t="s">
        <v>131</v>
      </c>
      <c r="B13" s="14" t="n">
        <v>0.1</v>
      </c>
      <c r="C13" s="26" t="n">
        <v>5.68</v>
      </c>
      <c r="D13" s="26" t="n">
        <v>21.99</v>
      </c>
      <c r="E13" s="26" t="n">
        <v>42.03</v>
      </c>
    </row>
    <row r="14" customFormat="false" ht="15" hidden="false" customHeight="false" outlineLevel="0" collapsed="false">
      <c r="A14" s="5" t="s">
        <v>132</v>
      </c>
      <c r="B14" s="14" t="n">
        <v>0.1</v>
      </c>
      <c r="C14" s="26" t="n">
        <v>7.33</v>
      </c>
      <c r="D14" s="26" t="n">
        <v>36.04</v>
      </c>
      <c r="E14" s="26" t="n">
        <v>38.1</v>
      </c>
    </row>
    <row r="15" customFormat="false" ht="15" hidden="false" customHeight="false" outlineLevel="0" collapsed="false">
      <c r="A15" s="5" t="s">
        <v>133</v>
      </c>
      <c r="B15" s="14" t="n">
        <v>0.1</v>
      </c>
      <c r="C15" s="26" t="n">
        <v>12.68</v>
      </c>
      <c r="D15" s="26" t="n">
        <v>53.65</v>
      </c>
      <c r="E15" s="26" t="n">
        <v>26.84</v>
      </c>
    </row>
    <row r="16" customFormat="false" ht="15" hidden="false" customHeight="false" outlineLevel="0" collapsed="false">
      <c r="A16" s="5" t="s">
        <v>134</v>
      </c>
      <c r="B16" s="14" t="n">
        <v>0.05</v>
      </c>
      <c r="C16" s="26" t="n">
        <v>15.82</v>
      </c>
      <c r="D16" s="26" t="n">
        <v>56.21</v>
      </c>
      <c r="E16" s="26" t="n">
        <v>23.99</v>
      </c>
    </row>
    <row r="17" customFormat="false" ht="15" hidden="false" customHeight="false" outlineLevel="0" collapsed="false">
      <c r="A17" s="5" t="s">
        <v>135</v>
      </c>
      <c r="B17" s="14" t="n">
        <v>0.02</v>
      </c>
      <c r="C17" s="26" t="n">
        <v>21.2</v>
      </c>
      <c r="D17" s="26" t="n">
        <v>59.2</v>
      </c>
      <c r="E17" s="26" t="n">
        <v>18.28</v>
      </c>
    </row>
    <row r="18" customFormat="false" ht="15" hidden="false" customHeight="false" outlineLevel="0" collapsed="false">
      <c r="A18" s="5" t="s">
        <v>136</v>
      </c>
      <c r="B18" s="14" t="n">
        <v>0.01</v>
      </c>
      <c r="C18" s="26" t="n">
        <v>26.87</v>
      </c>
      <c r="D18" s="26" t="n">
        <v>58.76</v>
      </c>
      <c r="E18" s="26" t="n">
        <v>14.43</v>
      </c>
    </row>
    <row r="21" customFormat="false" ht="15" hidden="false" customHeight="false" outlineLevel="0" collapsed="false">
      <c r="A21" s="3" t="s">
        <v>137</v>
      </c>
    </row>
    <row r="22" customFormat="false" ht="23.85" hidden="false" customHeight="false" outlineLevel="0" collapsed="false">
      <c r="A22" s="13" t="s">
        <v>119</v>
      </c>
      <c r="B22" s="13" t="s">
        <v>138</v>
      </c>
      <c r="C22" s="13" t="s">
        <v>139</v>
      </c>
      <c r="D22" s="13" t="s">
        <v>140</v>
      </c>
      <c r="E22" s="13" t="s">
        <v>141</v>
      </c>
      <c r="F22" s="13" t="s">
        <v>142</v>
      </c>
      <c r="G22" s="13" t="s">
        <v>143</v>
      </c>
      <c r="H22" s="13" t="s">
        <v>144</v>
      </c>
      <c r="I22" s="13" t="s">
        <v>145</v>
      </c>
      <c r="J22" s="13" t="s">
        <v>146</v>
      </c>
      <c r="K22" s="13" t="s">
        <v>147</v>
      </c>
    </row>
    <row r="23" customFormat="false" ht="15" hidden="false" customHeight="false" outlineLevel="0" collapsed="false">
      <c r="A23" s="5" t="s">
        <v>124</v>
      </c>
      <c r="B23" s="21" t="n">
        <f aca="false">B6</f>
        <v>0.1</v>
      </c>
      <c r="C23" s="27" t="n">
        <f aca="false">C6*(1+Usagers!$B$68)</f>
        <v>0.28</v>
      </c>
      <c r="D23" s="21" t="n">
        <f aca="false">D6/100</f>
        <v>0.0902</v>
      </c>
      <c r="E23" s="21" t="n">
        <f aca="false">E6/100</f>
        <v>0.0421</v>
      </c>
      <c r="F23" s="27" t="n">
        <f aca="false">0</f>
        <v>0</v>
      </c>
      <c r="G23" s="27" t="n">
        <f aca="false">MAX(0,2*C23-F23)</f>
        <v>0.56</v>
      </c>
      <c r="H23" s="27" t="n">
        <f aca="false">MIN(F23,G23)</f>
        <v>0</v>
      </c>
      <c r="I23" s="27" t="n">
        <f aca="false">MAX(F23,G23)</f>
        <v>0.56</v>
      </c>
      <c r="J23" s="30" t="n">
        <f aca="false">IF(I23&lt;=Leviers!$B$7,0,IF(H23&gt;=Leviers!$B$7,B23*((F23+G23)/2-Leviers!$B$7),B23*(I23-Leviers!$B$7)/(I23-H23)*(I23-Leviers!$B$7)/2))</f>
        <v>0</v>
      </c>
      <c r="K23" s="30" t="n">
        <f aca="false">IF(I23&lt;=Leviers!$B$7,0,IF(H23&gt;=Leviers!$B$7,B23,B23*(I23-Leviers!$B$7)/(I23-H23)))</f>
        <v>0</v>
      </c>
    </row>
    <row r="24" customFormat="false" ht="15" hidden="false" customHeight="false" outlineLevel="0" collapsed="false">
      <c r="A24" s="5" t="s">
        <v>125</v>
      </c>
      <c r="B24" s="21" t="n">
        <f aca="false">B7</f>
        <v>0.1</v>
      </c>
      <c r="C24" s="27" t="n">
        <f aca="false">C7*(1+Usagers!$B$68)</f>
        <v>1.21</v>
      </c>
      <c r="D24" s="21" t="n">
        <f aca="false">D7/100</f>
        <v>0.0557</v>
      </c>
      <c r="E24" s="21" t="n">
        <f aca="false">E7/100</f>
        <v>0.0437</v>
      </c>
      <c r="F24" s="27" t="n">
        <f aca="false">G23</f>
        <v>0.56</v>
      </c>
      <c r="G24" s="27" t="n">
        <f aca="false">MAX(0,2*C24-F24)</f>
        <v>1.86</v>
      </c>
      <c r="H24" s="27" t="n">
        <f aca="false">MIN(F24,G24)</f>
        <v>0.56</v>
      </c>
      <c r="I24" s="27" t="n">
        <f aca="false">MAX(F24,G24)</f>
        <v>1.86</v>
      </c>
      <c r="J24" s="30" t="n">
        <f aca="false">IF(I24&lt;=Leviers!$B$7,0,IF(H24&gt;=Leviers!$B$7,B24*((F24+G24)/2-Leviers!$B$7),B24*(I24-Leviers!$B$7)/(I24-H24)*(I24-Leviers!$B$7)/2))</f>
        <v>0</v>
      </c>
      <c r="K24" s="30" t="n">
        <f aca="false">IF(I24&lt;=Leviers!$B$7,0,IF(H24&gt;=Leviers!$B$7,B24,B24*(I24-Leviers!$B$7)/(I24-H24)))</f>
        <v>0</v>
      </c>
    </row>
    <row r="25" customFormat="false" ht="15" hidden="false" customHeight="false" outlineLevel="0" collapsed="false">
      <c r="A25" s="5" t="s">
        <v>126</v>
      </c>
      <c r="B25" s="21" t="n">
        <f aca="false">B8</f>
        <v>0.1</v>
      </c>
      <c r="C25" s="27" t="n">
        <f aca="false">C8*(1+Usagers!$B$68)</f>
        <v>1.85</v>
      </c>
      <c r="D25" s="21" t="n">
        <f aca="false">D8/100</f>
        <v>0.0315</v>
      </c>
      <c r="E25" s="21" t="n">
        <f aca="false">E8/100</f>
        <v>0.0763</v>
      </c>
      <c r="F25" s="27" t="n">
        <f aca="false">G24</f>
        <v>1.86</v>
      </c>
      <c r="G25" s="27" t="n">
        <f aca="false">MAX(0,2*C25-F25)</f>
        <v>1.84</v>
      </c>
      <c r="H25" s="27" t="n">
        <f aca="false">MIN(F25,G25)</f>
        <v>1.84</v>
      </c>
      <c r="I25" s="27" t="n">
        <f aca="false">MAX(F25,G25)</f>
        <v>1.86</v>
      </c>
      <c r="J25" s="30" t="n">
        <f aca="false">IF(I25&lt;=Leviers!$B$7,0,IF(H25&gt;=Leviers!$B$7,B25*((F25+G25)/2-Leviers!$B$7),B25*(I25-Leviers!$B$7)/(I25-H25)*(I25-Leviers!$B$7)/2))</f>
        <v>0</v>
      </c>
      <c r="K25" s="30" t="n">
        <f aca="false">IF(I25&lt;=Leviers!$B$7,0,IF(H25&gt;=Leviers!$B$7,B25,B25*(I25-Leviers!$B$7)/(I25-H25)))</f>
        <v>0</v>
      </c>
    </row>
    <row r="26" customFormat="false" ht="15" hidden="false" customHeight="false" outlineLevel="0" collapsed="false">
      <c r="A26" s="5" t="s">
        <v>127</v>
      </c>
      <c r="B26" s="21" t="n">
        <f aca="false">B9</f>
        <v>0.1</v>
      </c>
      <c r="C26" s="27" t="n">
        <f aca="false">C9*(1+Usagers!$B$68)</f>
        <v>2.46</v>
      </c>
      <c r="D26" s="21" t="n">
        <f aca="false">D9/100</f>
        <v>0.0249</v>
      </c>
      <c r="E26" s="21" t="n">
        <f aca="false">E9/100</f>
        <v>0.1268</v>
      </c>
      <c r="F26" s="27" t="n">
        <f aca="false">G25</f>
        <v>1.84</v>
      </c>
      <c r="G26" s="27" t="n">
        <f aca="false">MAX(0,2*C26-F26)</f>
        <v>3.08</v>
      </c>
      <c r="H26" s="27" t="n">
        <f aca="false">MIN(F26,G26)</f>
        <v>1.84</v>
      </c>
      <c r="I26" s="27" t="n">
        <f aca="false">MAX(F26,G26)</f>
        <v>3.08</v>
      </c>
      <c r="J26" s="30" t="n">
        <f aca="false">IF(I26&lt;=Leviers!$B$7,0,IF(H26&gt;=Leviers!$B$7,B26*((F26+G26)/2-Leviers!$B$7),B26*(I26-Leviers!$B$7)/(I26-H26)*(I26-Leviers!$B$7)/2))</f>
        <v>0</v>
      </c>
      <c r="K26" s="30" t="n">
        <f aca="false">IF(I26&lt;=Leviers!$B$7,0,IF(H26&gt;=Leviers!$B$7,B26,B26*(I26-Leviers!$B$7)/(I26-H26)))</f>
        <v>0</v>
      </c>
    </row>
    <row r="27" customFormat="false" ht="15" hidden="false" customHeight="false" outlineLevel="0" collapsed="false">
      <c r="A27" s="5" t="s">
        <v>128</v>
      </c>
      <c r="B27" s="21" t="n">
        <f aca="false">B10</f>
        <v>0.1</v>
      </c>
      <c r="C27" s="27" t="n">
        <f aca="false">C10*(1+Usagers!$B$68)</f>
        <v>3.07</v>
      </c>
      <c r="D27" s="21" t="n">
        <f aca="false">D10/100</f>
        <v>0.0339</v>
      </c>
      <c r="E27" s="21" t="n">
        <f aca="false">E10/100</f>
        <v>0.2018</v>
      </c>
      <c r="F27" s="27" t="n">
        <f aca="false">G26</f>
        <v>3.08</v>
      </c>
      <c r="G27" s="27" t="n">
        <f aca="false">MAX(0,2*C27-F27)</f>
        <v>3.06</v>
      </c>
      <c r="H27" s="27" t="n">
        <f aca="false">MIN(F27,G27)</f>
        <v>3.06</v>
      </c>
      <c r="I27" s="27" t="n">
        <f aca="false">MAX(F27,G27)</f>
        <v>3.08</v>
      </c>
      <c r="J27" s="30" t="n">
        <f aca="false">IF(I27&lt;=Leviers!$B$7,0,IF(H27&gt;=Leviers!$B$7,B27*((F27+G27)/2-Leviers!$B$7),B27*(I27-Leviers!$B$7)/(I27-H27)*(I27-Leviers!$B$7)/2))</f>
        <v>0</v>
      </c>
      <c r="K27" s="30" t="n">
        <f aca="false">IF(I27&lt;=Leviers!$B$7,0,IF(H27&gt;=Leviers!$B$7,B27,B27*(I27-Leviers!$B$7)/(I27-H27)))</f>
        <v>0</v>
      </c>
    </row>
    <row r="28" customFormat="false" ht="15" hidden="false" customHeight="false" outlineLevel="0" collapsed="false">
      <c r="A28" s="5" t="s">
        <v>129</v>
      </c>
      <c r="B28" s="21" t="n">
        <f aca="false">B11</f>
        <v>0.1</v>
      </c>
      <c r="C28" s="27" t="n">
        <f aca="false">C11*(1+Usagers!$B$68)</f>
        <v>3.75</v>
      </c>
      <c r="D28" s="21" t="n">
        <f aca="false">D11/100</f>
        <v>0.0541</v>
      </c>
      <c r="E28" s="21" t="n">
        <f aca="false">E11/100</f>
        <v>0.2775</v>
      </c>
      <c r="F28" s="27" t="n">
        <f aca="false">G27</f>
        <v>3.06</v>
      </c>
      <c r="G28" s="27" t="n">
        <f aca="false">MAX(0,2*C28-F28)</f>
        <v>4.44</v>
      </c>
      <c r="H28" s="27" t="n">
        <f aca="false">MIN(F28,G28)</f>
        <v>3.06</v>
      </c>
      <c r="I28" s="27" t="n">
        <f aca="false">MAX(F28,G28)</f>
        <v>4.44</v>
      </c>
      <c r="J28" s="30" t="n">
        <f aca="false">IF(I28&lt;=Leviers!$B$7,0,IF(H28&gt;=Leviers!$B$7,B28*((F28+G28)/2-Leviers!$B$7),B28*(I28-Leviers!$B$7)/(I28-H28)*(I28-Leviers!$B$7)/2))</f>
        <v>0</v>
      </c>
      <c r="K28" s="30" t="n">
        <f aca="false">IF(I28&lt;=Leviers!$B$7,0,IF(H28&gt;=Leviers!$B$7,B28,B28*(I28-Leviers!$B$7)/(I28-H28)))</f>
        <v>0</v>
      </c>
    </row>
    <row r="29" customFormat="false" ht="15" hidden="false" customHeight="false" outlineLevel="0" collapsed="false">
      <c r="A29" s="5" t="s">
        <v>130</v>
      </c>
      <c r="B29" s="21" t="n">
        <f aca="false">B12</f>
        <v>0.1</v>
      </c>
      <c r="C29" s="27" t="n">
        <f aca="false">C12*(1+Usagers!$B$68)</f>
        <v>4.58</v>
      </c>
      <c r="D29" s="21" t="n">
        <f aca="false">D12/100</f>
        <v>0.0984</v>
      </c>
      <c r="E29" s="21" t="n">
        <f aca="false">E12/100</f>
        <v>0.3695</v>
      </c>
      <c r="F29" s="27" t="n">
        <f aca="false">G28</f>
        <v>4.44</v>
      </c>
      <c r="G29" s="27" t="n">
        <f aca="false">MAX(0,2*C29-F29)</f>
        <v>4.72</v>
      </c>
      <c r="H29" s="27" t="n">
        <f aca="false">MIN(F29,G29)</f>
        <v>4.44</v>
      </c>
      <c r="I29" s="27" t="n">
        <f aca="false">MAX(F29,G29)</f>
        <v>4.72</v>
      </c>
      <c r="J29" s="30" t="n">
        <f aca="false">IF(I29&lt;=Leviers!$B$7,0,IF(H29&gt;=Leviers!$B$7,B29*((F29+G29)/2-Leviers!$B$7),B29*(I29-Leviers!$B$7)/(I29-H29)*(I29-Leviers!$B$7)/2))</f>
        <v>0</v>
      </c>
      <c r="K29" s="30" t="n">
        <f aca="false">IF(I29&lt;=Leviers!$B$7,0,IF(H29&gt;=Leviers!$B$7,B29,B29*(I29-Leviers!$B$7)/(I29-H29)))</f>
        <v>0</v>
      </c>
    </row>
    <row r="30" customFormat="false" ht="15" hidden="false" customHeight="false" outlineLevel="0" collapsed="false">
      <c r="A30" s="5" t="s">
        <v>131</v>
      </c>
      <c r="B30" s="21" t="n">
        <f aca="false">B13</f>
        <v>0.1</v>
      </c>
      <c r="C30" s="27" t="n">
        <f aca="false">C13*(1+Usagers!$B$68)</f>
        <v>5.68</v>
      </c>
      <c r="D30" s="21" t="n">
        <f aca="false">D13/100</f>
        <v>0.2199</v>
      </c>
      <c r="E30" s="21" t="n">
        <f aca="false">E13/100</f>
        <v>0.4203</v>
      </c>
      <c r="F30" s="27" t="n">
        <f aca="false">G29</f>
        <v>4.72</v>
      </c>
      <c r="G30" s="27" t="n">
        <f aca="false">MAX(0,2*C30-F30)</f>
        <v>6.64</v>
      </c>
      <c r="H30" s="27" t="n">
        <f aca="false">MIN(F30,G30)</f>
        <v>4.72</v>
      </c>
      <c r="I30" s="27" t="n">
        <f aca="false">MAX(F30,G30)</f>
        <v>6.64</v>
      </c>
      <c r="J30" s="30" t="n">
        <f aca="false">IF(I30&lt;=Leviers!$B$7,0,IF(H30&gt;=Leviers!$B$7,B30*((F30+G30)/2-Leviers!$B$7),B30*(I30-Leviers!$B$7)/(I30-H30)*(I30-Leviers!$B$7)/2))</f>
        <v>0</v>
      </c>
      <c r="K30" s="30" t="n">
        <f aca="false">IF(I30&lt;=Leviers!$B$7,0,IF(H30&gt;=Leviers!$B$7,B30,B30*(I30-Leviers!$B$7)/(I30-H30)))</f>
        <v>0</v>
      </c>
    </row>
    <row r="31" customFormat="false" ht="15" hidden="false" customHeight="false" outlineLevel="0" collapsed="false">
      <c r="A31" s="5" t="s">
        <v>132</v>
      </c>
      <c r="B31" s="21" t="n">
        <f aca="false">B14</f>
        <v>0.1</v>
      </c>
      <c r="C31" s="27" t="n">
        <f aca="false">C14*(1+Usagers!$B$68)</f>
        <v>7.33</v>
      </c>
      <c r="D31" s="21" t="n">
        <f aca="false">D14/100</f>
        <v>0.3604</v>
      </c>
      <c r="E31" s="21" t="n">
        <f aca="false">E14/100</f>
        <v>0.381</v>
      </c>
      <c r="F31" s="27" t="n">
        <f aca="false">G30</f>
        <v>6.64</v>
      </c>
      <c r="G31" s="27" t="n">
        <f aca="false">MAX(0,2*C31-F31)</f>
        <v>8.02</v>
      </c>
      <c r="H31" s="27" t="n">
        <f aca="false">MIN(F31,G31)</f>
        <v>6.64</v>
      </c>
      <c r="I31" s="27" t="n">
        <f aca="false">MAX(F31,G31)</f>
        <v>8.02</v>
      </c>
      <c r="J31" s="30" t="n">
        <f aca="false">IF(I31&lt;=Leviers!$B$7,0,IF(H31&gt;=Leviers!$B$7,B31*((F31+G31)/2-Leviers!$B$7),B31*(I31-Leviers!$B$7)/(I31-H31)*(I31-Leviers!$B$7)/2))</f>
        <v>0</v>
      </c>
      <c r="K31" s="30" t="n">
        <f aca="false">IF(I31&lt;=Leviers!$B$7,0,IF(H31&gt;=Leviers!$B$7,B31,B31*(I31-Leviers!$B$7)/(I31-H31)))</f>
        <v>0</v>
      </c>
    </row>
    <row r="32" customFormat="false" ht="15" hidden="false" customHeight="false" outlineLevel="0" collapsed="false">
      <c r="A32" s="5" t="s">
        <v>148</v>
      </c>
      <c r="B32" s="21" t="n">
        <f aca="false">B15-B16</f>
        <v>0.05</v>
      </c>
      <c r="C32" s="27" t="n">
        <f aca="false">(C15*B15-C16*B16)/(B15-B16)*(1+Usagers!$B$68)</f>
        <v>9.54</v>
      </c>
      <c r="D32" s="21" t="n">
        <f aca="false">(D15*B15-D16*B16)/(B15-B16)/100</f>
        <v>0.5109</v>
      </c>
      <c r="E32" s="21" t="n">
        <f aca="false">(E15*B15-E16*B16)/(B15-B16)/100</f>
        <v>0.2969</v>
      </c>
      <c r="F32" s="27" t="n">
        <f aca="false">G31</f>
        <v>8.02</v>
      </c>
      <c r="G32" s="27" t="n">
        <f aca="false">MAX(0,2*C32-F32)</f>
        <v>11.06</v>
      </c>
      <c r="H32" s="27" t="n">
        <f aca="false">MIN(F32,G32)</f>
        <v>8.02</v>
      </c>
      <c r="I32" s="27" t="n">
        <f aca="false">MAX(F32,G32)</f>
        <v>11.06</v>
      </c>
      <c r="J32" s="30" t="n">
        <f aca="false">IF(I32&lt;=Leviers!$B$7,0,IF(H32&gt;=Leviers!$B$7,B32*((F32+G32)/2-Leviers!$B$7),B32*(I32-Leviers!$B$7)/(I32-H32)*(I32-Leviers!$B$7)/2))</f>
        <v>0.00924013157894733</v>
      </c>
      <c r="K32" s="30" t="n">
        <f aca="false">IF(I32&lt;=Leviers!$B$7,0,IF(H32&gt;=Leviers!$B$7,B32,B32*(I32-Leviers!$B$7)/(I32-H32)))</f>
        <v>0.0174342105263158</v>
      </c>
    </row>
    <row r="33" customFormat="false" ht="15" hidden="false" customHeight="false" outlineLevel="0" collapsed="false">
      <c r="A33" s="5" t="s">
        <v>149</v>
      </c>
      <c r="B33" s="21" t="n">
        <f aca="false">B16-B17</f>
        <v>0.03</v>
      </c>
      <c r="C33" s="27" t="n">
        <f aca="false">(C16*B16-C17*B17)/(B16-B17)*(1+Usagers!$B$68)</f>
        <v>12.2333333333333</v>
      </c>
      <c r="D33" s="21" t="n">
        <f aca="false">(D16*B16-D17*B17)/(B16-B17)/100</f>
        <v>0.542166666666667</v>
      </c>
      <c r="E33" s="21" t="n">
        <f aca="false">(E16*B16-E17*B17)/(B16-B17)/100</f>
        <v>0.277966666666667</v>
      </c>
      <c r="F33" s="27" t="n">
        <f aca="false">G32</f>
        <v>11.06</v>
      </c>
      <c r="G33" s="27" t="n">
        <f aca="false">MAX(0,2*C33-F33)</f>
        <v>13.4066666666667</v>
      </c>
      <c r="H33" s="27" t="n">
        <f aca="false">MIN(F33,G33)</f>
        <v>11.06</v>
      </c>
      <c r="I33" s="27" t="n">
        <f aca="false">MAX(F33,G33)</f>
        <v>13.4066666666667</v>
      </c>
      <c r="J33" s="30" t="n">
        <f aca="false">IF(I33&lt;=Leviers!$B$7,0,IF(H33&gt;=Leviers!$B$7,B33*((F33+G33)/2-Leviers!$B$7),B33*(I33-Leviers!$B$7)/(I33-H33)*(I33-Leviers!$B$7)/2))</f>
        <v>0.067</v>
      </c>
      <c r="K33" s="30" t="n">
        <f aca="false">IF(I33&lt;=Leviers!$B$7,0,IF(H33&gt;=Leviers!$B$7,B33,B33*(I33-Leviers!$B$7)/(I33-H33)))</f>
        <v>0.03</v>
      </c>
    </row>
    <row r="34" customFormat="false" ht="15" hidden="false" customHeight="false" outlineLevel="0" collapsed="false">
      <c r="A34" s="5" t="s">
        <v>150</v>
      </c>
      <c r="B34" s="21" t="n">
        <f aca="false">B17-B18</f>
        <v>0.01</v>
      </c>
      <c r="C34" s="27" t="n">
        <f aca="false">(C17*B17-C18*B18)/(B17-B18)*(1+Usagers!$B$68)</f>
        <v>15.53</v>
      </c>
      <c r="D34" s="21" t="n">
        <f aca="false">(D17*B17-D18*B18)/(B17-B18)/100</f>
        <v>0.5964</v>
      </c>
      <c r="E34" s="21" t="n">
        <f aca="false">(E17*B17-E18*B18)/(B17-B18)/100</f>
        <v>0.2213</v>
      </c>
      <c r="F34" s="27" t="n">
        <f aca="false">G33</f>
        <v>13.4066666666667</v>
      </c>
      <c r="G34" s="27" t="n">
        <f aca="false">MAX(0,2*C34-F34)</f>
        <v>17.6533333333333</v>
      </c>
      <c r="H34" s="27" t="n">
        <f aca="false">MIN(F34,G34)</f>
        <v>13.4066666666667</v>
      </c>
      <c r="I34" s="27" t="n">
        <f aca="false">MAX(F34,G34)</f>
        <v>17.6533333333333</v>
      </c>
      <c r="J34" s="30" t="n">
        <f aca="false">IF(I34&lt;=Leviers!$B$7,0,IF(H34&gt;=Leviers!$B$7,B34*((F34+G34)/2-Leviers!$B$7),B34*(I34-Leviers!$B$7)/(I34-H34)*(I34-Leviers!$B$7)/2))</f>
        <v>0.0553</v>
      </c>
      <c r="K34" s="30" t="n">
        <f aca="false">IF(I34&lt;=Leviers!$B$7,0,IF(H34&gt;=Leviers!$B$7,B34,B34*(I34-Leviers!$B$7)/(I34-H34)))</f>
        <v>0.01</v>
      </c>
    </row>
    <row r="35" customFormat="false" ht="15" hidden="false" customHeight="false" outlineLevel="0" collapsed="false">
      <c r="A35" s="5" t="s">
        <v>151</v>
      </c>
      <c r="B35" s="21" t="n">
        <f aca="false">B18</f>
        <v>0.01</v>
      </c>
      <c r="C35" s="27" t="n">
        <f aca="false">C18*(1+Usagers!$B$68)</f>
        <v>26.87</v>
      </c>
      <c r="D35" s="21" t="n">
        <f aca="false">D18/100</f>
        <v>0.5876</v>
      </c>
      <c r="E35" s="21" t="n">
        <f aca="false">E18/100</f>
        <v>0.1443</v>
      </c>
      <c r="F35" s="27" t="n">
        <f aca="false">G34</f>
        <v>17.6533333333333</v>
      </c>
      <c r="G35" s="27" t="n">
        <f aca="false">MAX(0,2*C35-F35)</f>
        <v>36.0866666666667</v>
      </c>
      <c r="H35" s="27" t="n">
        <f aca="false">MIN(F35,G35)</f>
        <v>17.6533333333333</v>
      </c>
      <c r="I35" s="27" t="n">
        <f aca="false">MAX(F35,G35)</f>
        <v>36.0866666666667</v>
      </c>
      <c r="J35" s="30" t="n">
        <f aca="false">IF(I35&lt;=Leviers!$B$7,0,IF(H35&gt;=Leviers!$B$7,B35*((F35+G35)/2-Leviers!$B$7),B35*(I35-Leviers!$B$7)/(I35-H35)*(I35-Leviers!$B$7)/2))</f>
        <v>0.1687</v>
      </c>
      <c r="K35" s="30" t="n">
        <f aca="false">IF(I35&lt;=Leviers!$B$7,0,IF(H35&gt;=Leviers!$B$7,B35,B35*(I35-Leviers!$B$7)/(I35-H35)))</f>
        <v>0.01</v>
      </c>
    </row>
    <row r="36" customFormat="false" ht="15" hidden="false" customHeight="false" outlineLevel="0" collapsed="false">
      <c r="A36" s="3" t="s">
        <v>152</v>
      </c>
      <c r="B36" s="21" t="n">
        <f aca="false">SUM(B23:B35)</f>
        <v>1</v>
      </c>
      <c r="C36" s="27" t="n">
        <f aca="false">SUMPRODUCT(B23:B35,C23:C35)</f>
        <v>4.289</v>
      </c>
      <c r="J36" s="31" t="n">
        <f aca="false">SUM(J23:J35)</f>
        <v>0.300240131578947</v>
      </c>
      <c r="K36" s="31" t="n">
        <f aca="false">SUM(K23:K35)</f>
        <v>0.0674342105263158</v>
      </c>
    </row>
    <row r="38" customFormat="false" ht="15" hidden="false" customHeight="false" outlineLevel="0" collapsed="false">
      <c r="A38" s="3" t="s">
        <v>153</v>
      </c>
    </row>
    <row r="39" customFormat="false" ht="15" hidden="false" customHeight="false" outlineLevel="0" collapsed="false">
      <c r="A39" s="32" t="s">
        <v>154</v>
      </c>
      <c r="B39" s="32"/>
      <c r="C39" s="26" t="n">
        <v>4.29</v>
      </c>
      <c r="D39" s="5" t="s">
        <v>155</v>
      </c>
      <c r="I39" s="2" t="s">
        <v>156</v>
      </c>
    </row>
    <row r="40" customFormat="false" ht="15" hidden="false" customHeight="false" outlineLevel="0" collapsed="false">
      <c r="A40" s="32" t="s">
        <v>157</v>
      </c>
      <c r="B40" s="32"/>
      <c r="C40" s="33" t="n">
        <v>1408</v>
      </c>
      <c r="D40" s="5" t="s">
        <v>158</v>
      </c>
      <c r="I40" s="2" t="s">
        <v>159</v>
      </c>
    </row>
    <row r="41" customFormat="false" ht="15" hidden="false" customHeight="false" outlineLevel="0" collapsed="false">
      <c r="A41" s="32" t="s">
        <v>160</v>
      </c>
      <c r="B41" s="32"/>
      <c r="C41" s="16" t="n">
        <v>28800000</v>
      </c>
      <c r="D41" s="5" t="s">
        <v>161</v>
      </c>
      <c r="I41" s="2" t="s">
        <v>162</v>
      </c>
    </row>
    <row r="42" customFormat="false" ht="15" hidden="false" customHeight="false" outlineLevel="0" collapsed="false">
      <c r="A42" s="32" t="s">
        <v>163</v>
      </c>
      <c r="B42" s="32"/>
      <c r="C42" s="34" t="n">
        <v>1.18572074107546</v>
      </c>
      <c r="D42" s="5" t="s">
        <v>164</v>
      </c>
      <c r="I42" s="2" t="s">
        <v>165</v>
      </c>
    </row>
    <row r="43" customFormat="false" ht="15" hidden="false" customHeight="false" outlineLevel="0" collapsed="false">
      <c r="A43" s="32" t="s">
        <v>166</v>
      </c>
      <c r="B43" s="32"/>
      <c r="C43" s="35" t="n">
        <f aca="false">C40*C41*C42/1000000000</f>
        <v>48.0814503389065</v>
      </c>
    </row>
    <row r="44" customFormat="false" ht="15" hidden="false" customHeight="false" outlineLevel="0" collapsed="false">
      <c r="A44" s="32" t="s">
        <v>167</v>
      </c>
      <c r="B44" s="32"/>
      <c r="C44" s="18" t="n">
        <f aca="false">J36/C39*C43</f>
        <v>3.36503053059671</v>
      </c>
    </row>
    <row r="45" customFormat="false" ht="15" hidden="false" customHeight="false" outlineLevel="0" collapsed="false">
      <c r="A45" s="32" t="s">
        <v>168</v>
      </c>
      <c r="B45" s="32"/>
      <c r="C45" s="36" t="n">
        <f aca="false">K36*C41</f>
        <v>1942105.26315789</v>
      </c>
    </row>
    <row r="46" customFormat="false" ht="15" hidden="false" customHeight="false" outlineLevel="0" collapsed="false">
      <c r="A46" s="32" t="s">
        <v>77</v>
      </c>
      <c r="B46" s="32"/>
      <c r="C46" s="37" t="n">
        <f aca="false">IF(J36&gt;0,SUMPRODUCT(J23:J35,D23:D35+E23:E35)/J36,0)</f>
        <v>0.769728718167841</v>
      </c>
    </row>
    <row r="47" customFormat="false" ht="15" hidden="false" customHeight="false" outlineLevel="0" collapsed="false">
      <c r="A47" s="32" t="s">
        <v>78</v>
      </c>
      <c r="B47" s="32"/>
      <c r="C47" s="37" t="n">
        <f aca="false">IF(J36&gt;0,SUMPRODUCT(J23:J35,D23:D35)/J36,0)</f>
        <v>0.576721669350922</v>
      </c>
    </row>
    <row r="49" customFormat="false" ht="15" hidden="false" customHeight="false" outlineLevel="0" collapsed="false">
      <c r="A49" s="2" t="s">
        <v>169</v>
      </c>
    </row>
    <row r="50" customFormat="false" ht="15" hidden="false" customHeight="false" outlineLevel="0" collapsed="false">
      <c r="A50" s="2" t="s">
        <v>170</v>
      </c>
    </row>
  </sheetData>
  <mergeCells count="9"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0" min="2" style="0" width="14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3" customFormat="false" ht="15" hidden="false" customHeight="false" outlineLevel="0" collapsed="false">
      <c r="A3" s="3" t="s">
        <v>173</v>
      </c>
    </row>
    <row r="4" customFormat="false" ht="15" hidden="false" customHeight="false" outlineLevel="0" collapsed="false">
      <c r="A4" s="4" t="s">
        <v>174</v>
      </c>
      <c r="B4" s="12" t="n">
        <v>140</v>
      </c>
    </row>
    <row r="5" customFormat="false" ht="15" hidden="false" customHeight="false" outlineLevel="0" collapsed="false">
      <c r="A5" s="4" t="s">
        <v>175</v>
      </c>
      <c r="B5" s="11" t="n">
        <v>1</v>
      </c>
    </row>
    <row r="6" customFormat="false" ht="15" hidden="false" customHeight="false" outlineLevel="0" collapsed="false">
      <c r="A6" s="4" t="s">
        <v>176</v>
      </c>
      <c r="B6" s="10" t="n">
        <v>0.3</v>
      </c>
    </row>
    <row r="7" customFormat="false" ht="15" hidden="false" customHeight="false" outlineLevel="0" collapsed="false">
      <c r="A7" s="4" t="s">
        <v>177</v>
      </c>
      <c r="B7" s="6" t="s">
        <v>178</v>
      </c>
    </row>
    <row r="8" customFormat="false" ht="15" hidden="false" customHeight="false" outlineLevel="0" collapsed="false">
      <c r="A8" s="4" t="s">
        <v>179</v>
      </c>
      <c r="B8" s="6" t="s">
        <v>178</v>
      </c>
    </row>
    <row r="9" customFormat="false" ht="15" hidden="false" customHeight="false" outlineLevel="0" collapsed="false">
      <c r="A9" s="4" t="s">
        <v>180</v>
      </c>
      <c r="B9" s="10" t="n">
        <v>0</v>
      </c>
    </row>
    <row r="10" customFormat="false" ht="15" hidden="false" customHeight="false" outlineLevel="0" collapsed="false">
      <c r="A10" s="4" t="s">
        <v>181</v>
      </c>
      <c r="B10" s="10" t="n">
        <v>0</v>
      </c>
    </row>
    <row r="11" customFormat="false" ht="15" hidden="false" customHeight="false" outlineLevel="0" collapsed="false">
      <c r="A11" s="4" t="s">
        <v>182</v>
      </c>
      <c r="B11" s="11" t="n">
        <v>0</v>
      </c>
    </row>
    <row r="12" customFormat="false" ht="15" hidden="false" customHeight="false" outlineLevel="0" collapsed="false">
      <c r="A12" s="4" t="s">
        <v>183</v>
      </c>
      <c r="B12" s="10" t="n">
        <v>0.08</v>
      </c>
    </row>
    <row r="14" customFormat="false" ht="15" hidden="false" customHeight="false" outlineLevel="0" collapsed="false">
      <c r="A14" s="3" t="s">
        <v>29</v>
      </c>
    </row>
    <row r="15" customFormat="false" ht="23.85" hidden="false" customHeight="false" outlineLevel="0" collapsed="false">
      <c r="A15" s="13" t="s">
        <v>30</v>
      </c>
      <c r="B15" s="13" t="s">
        <v>31</v>
      </c>
      <c r="C15" s="13" t="s">
        <v>32</v>
      </c>
      <c r="D15" s="13" t="s">
        <v>33</v>
      </c>
    </row>
    <row r="16" customFormat="false" ht="46.25" hidden="false" customHeight="false" outlineLevel="0" collapsed="false">
      <c r="A16" s="4" t="s">
        <v>184</v>
      </c>
      <c r="B16" s="26" t="n">
        <v>1.4</v>
      </c>
      <c r="C16" s="4" t="s">
        <v>185</v>
      </c>
      <c r="D16" s="4" t="s">
        <v>186</v>
      </c>
    </row>
    <row r="17" customFormat="false" ht="35.05" hidden="false" customHeight="false" outlineLevel="0" collapsed="false">
      <c r="A17" s="4" t="s">
        <v>187</v>
      </c>
      <c r="B17" s="38" t="n">
        <v>2</v>
      </c>
      <c r="C17" s="4" t="s">
        <v>55</v>
      </c>
      <c r="D17" s="4" t="s">
        <v>188</v>
      </c>
    </row>
    <row r="18" customFormat="false" ht="35.05" hidden="false" customHeight="false" outlineLevel="0" collapsed="false">
      <c r="A18" s="4" t="s">
        <v>189</v>
      </c>
      <c r="B18" s="33" t="n">
        <v>100</v>
      </c>
      <c r="C18" s="4" t="s">
        <v>55</v>
      </c>
      <c r="D18" s="4" t="s">
        <v>188</v>
      </c>
    </row>
    <row r="19" customFormat="false" ht="46.25" hidden="false" customHeight="false" outlineLevel="0" collapsed="false">
      <c r="A19" s="4" t="s">
        <v>190</v>
      </c>
      <c r="B19" s="33" t="n">
        <v>140</v>
      </c>
      <c r="C19" s="4" t="s">
        <v>36</v>
      </c>
      <c r="D19" s="4" t="s">
        <v>191</v>
      </c>
    </row>
    <row r="20" customFormat="false" ht="57.45" hidden="false" customHeight="false" outlineLevel="0" collapsed="false">
      <c r="A20" s="4" t="s">
        <v>192</v>
      </c>
      <c r="B20" s="14" t="n">
        <v>0.3</v>
      </c>
      <c r="C20" s="4" t="s">
        <v>43</v>
      </c>
      <c r="D20" s="4" t="s">
        <v>193</v>
      </c>
    </row>
    <row r="21" customFormat="false" ht="57.45" hidden="false" customHeight="false" outlineLevel="0" collapsed="false">
      <c r="A21" s="4" t="s">
        <v>194</v>
      </c>
      <c r="B21" s="39" t="n">
        <v>0.11</v>
      </c>
      <c r="C21" s="4" t="s">
        <v>43</v>
      </c>
      <c r="D21" s="4" t="s">
        <v>193</v>
      </c>
    </row>
    <row r="22" customFormat="false" ht="35.05" hidden="false" customHeight="false" outlineLevel="0" collapsed="false">
      <c r="A22" s="4" t="s">
        <v>195</v>
      </c>
      <c r="B22" s="39" t="n">
        <v>0.2</v>
      </c>
      <c r="C22" s="4" t="s">
        <v>55</v>
      </c>
      <c r="D22" s="4" t="s">
        <v>196</v>
      </c>
    </row>
    <row r="23" customFormat="false" ht="35.05" hidden="false" customHeight="false" outlineLevel="0" collapsed="false">
      <c r="A23" s="4" t="s">
        <v>197</v>
      </c>
      <c r="B23" s="39" t="n">
        <v>0.1</v>
      </c>
      <c r="C23" s="4" t="s">
        <v>55</v>
      </c>
      <c r="D23" s="4" t="s">
        <v>196</v>
      </c>
    </row>
    <row r="24" customFormat="false" ht="35.05" hidden="false" customHeight="false" outlineLevel="0" collapsed="false">
      <c r="A24" s="4" t="s">
        <v>198</v>
      </c>
      <c r="B24" s="39" t="n">
        <v>4.5</v>
      </c>
      <c r="C24" s="4" t="s">
        <v>55</v>
      </c>
      <c r="D24" s="4" t="s">
        <v>199</v>
      </c>
    </row>
    <row r="25" customFormat="false" ht="35.05" hidden="false" customHeight="false" outlineLevel="0" collapsed="false">
      <c r="A25" s="4" t="s">
        <v>200</v>
      </c>
      <c r="B25" s="14" t="n">
        <v>0.385</v>
      </c>
      <c r="C25" s="4" t="s">
        <v>55</v>
      </c>
      <c r="D25" s="4" t="s">
        <v>199</v>
      </c>
    </row>
    <row r="26" customFormat="false" ht="15" hidden="false" customHeight="false" outlineLevel="0" collapsed="false">
      <c r="A26" s="4" t="s">
        <v>201</v>
      </c>
      <c r="B26" s="14" t="n">
        <v>0.05</v>
      </c>
      <c r="C26" s="4" t="s">
        <v>55</v>
      </c>
      <c r="D26" s="4" t="s">
        <v>63</v>
      </c>
    </row>
    <row r="27" customFormat="false" ht="68.65" hidden="false" customHeight="false" outlineLevel="0" collapsed="false">
      <c r="A27" s="4" t="s">
        <v>202</v>
      </c>
      <c r="B27" s="40" t="n">
        <v>0.1327</v>
      </c>
      <c r="C27" s="4" t="s">
        <v>36</v>
      </c>
      <c r="D27" s="4" t="s">
        <v>203</v>
      </c>
    </row>
    <row r="28" customFormat="false" ht="68.65" hidden="false" customHeight="false" outlineLevel="0" collapsed="false">
      <c r="A28" s="4" t="s">
        <v>204</v>
      </c>
      <c r="B28" s="39" t="n">
        <v>6.558</v>
      </c>
      <c r="C28" s="4" t="s">
        <v>36</v>
      </c>
      <c r="D28" s="4" t="s">
        <v>203</v>
      </c>
    </row>
    <row r="29" customFormat="false" ht="46.25" hidden="false" customHeight="false" outlineLevel="0" collapsed="false">
      <c r="A29" s="4" t="s">
        <v>205</v>
      </c>
      <c r="B29" s="41" t="n">
        <v>24.3</v>
      </c>
      <c r="C29" s="4" t="s">
        <v>55</v>
      </c>
      <c r="D29" s="4" t="s">
        <v>206</v>
      </c>
    </row>
    <row r="30" customFormat="false" ht="46.25" hidden="false" customHeight="false" outlineLevel="0" collapsed="false">
      <c r="A30" s="4" t="s">
        <v>207</v>
      </c>
      <c r="B30" s="41" t="n">
        <v>5.6</v>
      </c>
      <c r="C30" s="4" t="s">
        <v>55</v>
      </c>
      <c r="D30" s="4" t="s">
        <v>206</v>
      </c>
    </row>
    <row r="31" customFormat="false" ht="46.25" hidden="false" customHeight="false" outlineLevel="0" collapsed="false">
      <c r="A31" s="4" t="s">
        <v>208</v>
      </c>
      <c r="B31" s="14" t="n">
        <v>0.08</v>
      </c>
      <c r="C31" s="4" t="s">
        <v>55</v>
      </c>
      <c r="D31" s="4" t="s">
        <v>206</v>
      </c>
    </row>
    <row r="32" customFormat="false" ht="57.45" hidden="false" customHeight="false" outlineLevel="0" collapsed="false">
      <c r="A32" s="4" t="s">
        <v>209</v>
      </c>
      <c r="B32" s="33" t="n">
        <v>36</v>
      </c>
      <c r="C32" s="4" t="s">
        <v>55</v>
      </c>
      <c r="D32" s="4" t="s">
        <v>210</v>
      </c>
    </row>
    <row r="33" customFormat="false" ht="57.45" hidden="false" customHeight="false" outlineLevel="0" collapsed="false">
      <c r="A33" s="4" t="s">
        <v>211</v>
      </c>
      <c r="B33" s="33" t="n">
        <v>142</v>
      </c>
      <c r="C33" s="4" t="s">
        <v>55</v>
      </c>
      <c r="D33" s="4" t="s">
        <v>210</v>
      </c>
    </row>
    <row r="35" customFormat="false" ht="35.05" hidden="false" customHeight="false" outlineLevel="0" collapsed="false">
      <c r="A35" s="13" t="s">
        <v>212</v>
      </c>
      <c r="B35" s="13" t="s">
        <v>213</v>
      </c>
      <c r="C35" s="13" t="s">
        <v>214</v>
      </c>
      <c r="D35" s="13" t="s">
        <v>215</v>
      </c>
      <c r="E35" s="13" t="s">
        <v>216</v>
      </c>
      <c r="F35" s="13" t="s">
        <v>217</v>
      </c>
      <c r="G35" s="13" t="s">
        <v>218</v>
      </c>
      <c r="H35" s="13" t="s">
        <v>219</v>
      </c>
      <c r="I35" s="13" t="s">
        <v>220</v>
      </c>
      <c r="J35" s="13" t="s">
        <v>221</v>
      </c>
      <c r="K35" s="13" t="s">
        <v>222</v>
      </c>
      <c r="L35" s="13" t="s">
        <v>223</v>
      </c>
      <c r="M35" s="13" t="s">
        <v>224</v>
      </c>
      <c r="N35" s="13" t="s">
        <v>225</v>
      </c>
      <c r="O35" s="13" t="s">
        <v>226</v>
      </c>
      <c r="P35" s="13" t="s">
        <v>227</v>
      </c>
      <c r="Q35" s="13" t="s">
        <v>228</v>
      </c>
      <c r="R35" s="13" t="s">
        <v>229</v>
      </c>
      <c r="S35" s="13" t="s">
        <v>230</v>
      </c>
      <c r="T35" s="13" t="s">
        <v>231</v>
      </c>
      <c r="U35" s="13" t="s">
        <v>232</v>
      </c>
    </row>
    <row r="36" customFormat="false" ht="15" hidden="false" customHeight="false" outlineLevel="0" collapsed="false">
      <c r="A36" s="5" t="s">
        <v>233</v>
      </c>
      <c r="B36" s="16" t="n">
        <v>8216128</v>
      </c>
      <c r="C36" s="42" t="n">
        <v>0</v>
      </c>
      <c r="D36" s="43" t="n">
        <v>5</v>
      </c>
      <c r="E36" s="5" t="s">
        <v>234</v>
      </c>
      <c r="F36" s="44" t="n">
        <f aca="false">0</f>
        <v>0</v>
      </c>
      <c r="G36" s="44" t="n">
        <f aca="false">0</f>
        <v>0</v>
      </c>
      <c r="H36" s="44" t="n">
        <f aca="false">0</f>
        <v>0</v>
      </c>
      <c r="I36" s="44" t="n">
        <f aca="false">0</f>
        <v>0</v>
      </c>
      <c r="J36" s="33" t="n">
        <v>149</v>
      </c>
      <c r="K36" s="33" t="n">
        <v>925</v>
      </c>
      <c r="L36" s="33" t="n">
        <v>88</v>
      </c>
      <c r="M36" s="44" t="n">
        <f aca="false">$B$32+($B$33-$B$32)*(MIN(85,MAX(20,D36))-20)/65</f>
        <v>36</v>
      </c>
      <c r="N36" s="38" t="n">
        <v>0</v>
      </c>
      <c r="O36" s="44" t="n">
        <f aca="false">IF(SUMPRODUCT($B$36:$B$44,$J$36:$J$44)&gt;0,B47*1000000000*J36/SUMPRODUCT($B$36:$B$44,$J$36:$J$44),0)</f>
        <v>0</v>
      </c>
      <c r="P36" s="44" t="n">
        <f aca="false">IF(SUMPRODUCT($B$36:$B$44,$K$36:$K$44)&gt;0,B48*1000000000*K36/SUMPRODUCT($B$36:$B$44,$K$36:$K$44),0)</f>
        <v>0</v>
      </c>
      <c r="Q36" s="44" t="n">
        <f aca="false">-$B$9*$B$24*1000000000*L36/SUMPRODUCT($B$36:$B$44,$L$36:$L$44)</f>
        <v>-0</v>
      </c>
      <c r="R36" s="44" t="n">
        <f aca="false">(B50+B52)*1000000000*M36/SUMPRODUCT($B$36:$B$44,$M$36:$M$44)</f>
        <v>0</v>
      </c>
      <c r="S36" s="44" t="n">
        <f aca="false">B51*1000000000*N36/SUMPRODUCT($B$36:$B$44,$N$36:$N$44)</f>
        <v>0</v>
      </c>
      <c r="T36" s="45" t="n">
        <f aca="false">I36+(O36+P36)*$B$26+Q36*(1-$B$25)</f>
        <v>0</v>
      </c>
      <c r="U36" s="45" t="n">
        <f aca="false">(O36+P36)*(1-$B$26)+Q36*$B$25+R36</f>
        <v>0</v>
      </c>
    </row>
    <row r="37" customFormat="false" ht="15" hidden="false" customHeight="false" outlineLevel="0" collapsed="false">
      <c r="A37" s="5" t="s">
        <v>235</v>
      </c>
      <c r="B37" s="16" t="n">
        <v>8186259</v>
      </c>
      <c r="C37" s="42" t="n">
        <v>2</v>
      </c>
      <c r="D37" s="43" t="n">
        <v>15.5</v>
      </c>
      <c r="E37" s="46" t="n">
        <v>-0.280523</v>
      </c>
      <c r="F37" s="44" t="n">
        <f aca="false">EXP((E37+LN($B$17*0.5))+$B$16^2/2)*_xlfn.NORM.S.DIST(((LN($B$18)-(E37+LN($B$17*0.5)))/$B$16)-$B$16,TRUE())+$B$18*(1-_xlfn.NORM.S.DIST(((LN($B$18)-(E37+LN($B$17*0.5)))/$B$16),TRUE()))</f>
        <v>2.00000049559416</v>
      </c>
      <c r="G37" s="44" t="n">
        <f aca="false">EXP((E37+LN($B$17*1))+$B$16^2/2)*_xlfn.NORM.S.DIST(((LN($B$19)-(E37+LN($B$17*1)))/$B$16)-$B$16,TRUE())+$B$19*(1-_xlfn.NORM.S.DIST(((LN($B$19)-(E37+LN($B$17*1)))/$B$16),TRUE()))</f>
        <v>3.97669350462296</v>
      </c>
      <c r="H37" s="44" t="n">
        <f aca="false">EXP((E37+LN($B$17*$B$5))+$B$16^2/2)*_xlfn.NORM.S.DIST(((LN($B$4)-(E37+LN($B$17*$B$5)))/$B$16)-$B$16,TRUE())+$B$4*(1-_xlfn.NORM.S.DIST(((LN($B$4)-(E37+LN($B$17*$B$5)))/$B$16),TRUE()))</f>
        <v>3.97669350462296</v>
      </c>
      <c r="I37" s="44" t="n">
        <f aca="false">H37-G37</f>
        <v>0</v>
      </c>
      <c r="J37" s="33" t="n">
        <v>143</v>
      </c>
      <c r="K37" s="33" t="n">
        <v>887</v>
      </c>
      <c r="L37" s="33" t="n">
        <v>263</v>
      </c>
      <c r="M37" s="44" t="n">
        <f aca="false">$B$32+($B$33-$B$32)*(MIN(85,MAX(20,D37))-20)/65</f>
        <v>36</v>
      </c>
      <c r="N37" s="38" t="n">
        <v>0</v>
      </c>
      <c r="O37" s="44" t="n">
        <f aca="false">IF(SUMPRODUCT($B$36:$B$44,$J$36:$J$44)&gt;0,B47*1000000000*J37/SUMPRODUCT($B$36:$B$44,$J$36:$J$44),0)</f>
        <v>0</v>
      </c>
      <c r="P37" s="44" t="n">
        <f aca="false">IF(SUMPRODUCT($B$36:$B$44,$K$36:$K$44)&gt;0,B48*1000000000*K37/SUMPRODUCT($B$36:$B$44,$K$36:$K$44),0)</f>
        <v>0</v>
      </c>
      <c r="Q37" s="44" t="n">
        <f aca="false">-$B$9*$B$24*1000000000*L37/SUMPRODUCT($B$36:$B$44,$L$36:$L$44)</f>
        <v>-0</v>
      </c>
      <c r="R37" s="44" t="n">
        <f aca="false">(B50+B52)*1000000000*M37/SUMPRODUCT($B$36:$B$44,$M$36:$M$44)</f>
        <v>0</v>
      </c>
      <c r="S37" s="44" t="n">
        <f aca="false">B51*1000000000*N37/SUMPRODUCT($B$36:$B$44,$N$36:$N$44)</f>
        <v>0</v>
      </c>
      <c r="T37" s="45" t="n">
        <f aca="false">I37+(O37+P37)*$B$26+Q37*(1-$B$25)</f>
        <v>0</v>
      </c>
      <c r="U37" s="45" t="n">
        <f aca="false">(O37+P37)*(1-$B$26)+Q37*$B$25+R37</f>
        <v>0</v>
      </c>
    </row>
    <row r="38" customFormat="false" ht="15" hidden="false" customHeight="false" outlineLevel="0" collapsed="false">
      <c r="A38" s="5" t="s">
        <v>236</v>
      </c>
      <c r="B38" s="16" t="n">
        <v>7938340</v>
      </c>
      <c r="C38" s="42" t="n">
        <v>14</v>
      </c>
      <c r="D38" s="43" t="n">
        <v>25.5</v>
      </c>
      <c r="E38" s="46" t="n">
        <v>1.802278</v>
      </c>
      <c r="F38" s="44" t="n">
        <f aca="false">EXP((E38+LN($B$17*0.5))+$B$16^2/2)*_xlfn.NORM.S.DIST(((LN($B$18)-(E38+LN($B$17*0.5)))/$B$16)-$B$16,TRUE())+$B$18*(1-_xlfn.NORM.S.DIST(((LN($B$18)-(E38+LN($B$17*0.5)))/$B$16),TRUE()))</f>
        <v>14.00000547114</v>
      </c>
      <c r="G38" s="44" t="n">
        <f aca="false">EXP((E38+LN($B$17*1))+$B$16^2/2)*_xlfn.NORM.S.DIST(((LN($B$19)-(E38+LN($B$17*1)))/$B$16)-$B$16,TRUE())+$B$19*(1-_xlfn.NORM.S.DIST(((LN($B$19)-(E38+LN($B$17*1)))/$B$16),TRUE()))</f>
        <v>26.1852143141372</v>
      </c>
      <c r="H38" s="44" t="n">
        <f aca="false">EXP((E38+LN($B$17*$B$5))+$B$16^2/2)*_xlfn.NORM.S.DIST(((LN($B$4)-(E38+LN($B$17*$B$5)))/$B$16)-$B$16,TRUE())+$B$4*(1-_xlfn.NORM.S.DIST(((LN($B$4)-(E38+LN($B$17*$B$5)))/$B$16),TRUE()))</f>
        <v>26.1852143141372</v>
      </c>
      <c r="I38" s="44" t="n">
        <f aca="false">H38-G38</f>
        <v>0</v>
      </c>
      <c r="J38" s="33" t="n">
        <v>169</v>
      </c>
      <c r="K38" s="33" t="n">
        <v>1134</v>
      </c>
      <c r="L38" s="33" t="n">
        <v>145</v>
      </c>
      <c r="M38" s="44" t="n">
        <f aca="false">$B$32+($B$33-$B$32)*(MIN(85,MAX(20,D38))-20)/65</f>
        <v>44.9692307692308</v>
      </c>
      <c r="N38" s="38" t="n">
        <v>1</v>
      </c>
      <c r="O38" s="44" t="n">
        <f aca="false">IF(SUMPRODUCT($B$36:$B$44,$J$36:$J$44)&gt;0,B47*1000000000*J38/SUMPRODUCT($B$36:$B$44,$J$36:$J$44),0)</f>
        <v>0</v>
      </c>
      <c r="P38" s="44" t="n">
        <f aca="false">IF(SUMPRODUCT($B$36:$B$44,$K$36:$K$44)&gt;0,B48*1000000000*K38/SUMPRODUCT($B$36:$B$44,$K$36:$K$44),0)</f>
        <v>0</v>
      </c>
      <c r="Q38" s="44" t="n">
        <f aca="false">-$B$9*$B$24*1000000000*L38/SUMPRODUCT($B$36:$B$44,$L$36:$L$44)</f>
        <v>-0</v>
      </c>
      <c r="R38" s="44" t="n">
        <f aca="false">(B50+B52)*1000000000*M38/SUMPRODUCT($B$36:$B$44,$M$36:$M$44)</f>
        <v>0</v>
      </c>
      <c r="S38" s="44" t="n">
        <f aca="false">B51*1000000000*N38/SUMPRODUCT($B$36:$B$44,$N$36:$N$44)</f>
        <v>0</v>
      </c>
      <c r="T38" s="45" t="n">
        <f aca="false">I38+(O38+P38)*$B$26+Q38*(1-$B$25)</f>
        <v>0</v>
      </c>
      <c r="U38" s="45" t="n">
        <f aca="false">(O38+P38)*(1-$B$26)+Q38*$B$25+R38</f>
        <v>0</v>
      </c>
    </row>
    <row r="39" customFormat="false" ht="15" hidden="false" customHeight="false" outlineLevel="0" collapsed="false">
      <c r="A39" s="5" t="s">
        <v>237</v>
      </c>
      <c r="B39" s="16" t="n">
        <v>8390307</v>
      </c>
      <c r="C39" s="42" t="n">
        <v>17</v>
      </c>
      <c r="D39" s="43" t="n">
        <v>35.5</v>
      </c>
      <c r="E39" s="46" t="n">
        <v>2.038689</v>
      </c>
      <c r="F39" s="44" t="n">
        <f aca="false">EXP((E39+LN($B$17*0.5))+$B$16^2/2)*_xlfn.NORM.S.DIST(((LN($B$18)-(E39+LN($B$17*0.5)))/$B$16)-$B$16,TRUE())+$B$18*(1-_xlfn.NORM.S.DIST(((LN($B$18)-(E39+LN($B$17*0.5)))/$B$16),TRUE()))</f>
        <v>16.9999943888602</v>
      </c>
      <c r="G39" s="44" t="n">
        <f aca="false">EXP((E39+LN($B$17*1))+$B$16^2/2)*_xlfn.NORM.S.DIST(((LN($B$19)-(E39+LN($B$17*1)))/$B$16)-$B$16,TRUE())+$B$19*(1-_xlfn.NORM.S.DIST(((LN($B$19)-(E39+LN($B$17*1)))/$B$16),TRUE()))</f>
        <v>31.3751917001615</v>
      </c>
      <c r="H39" s="44" t="n">
        <f aca="false">EXP((E39+LN($B$17*$B$5))+$B$16^2/2)*_xlfn.NORM.S.DIST(((LN($B$4)-(E39+LN($B$17*$B$5)))/$B$16)-$B$16,TRUE())+$B$4*(1-_xlfn.NORM.S.DIST(((LN($B$4)-(E39+LN($B$17*$B$5)))/$B$16),TRUE()))</f>
        <v>31.3751917001615</v>
      </c>
      <c r="I39" s="44" t="n">
        <f aca="false">H39-G39</f>
        <v>0</v>
      </c>
      <c r="J39" s="33" t="n">
        <v>202</v>
      </c>
      <c r="K39" s="33" t="n">
        <v>1477</v>
      </c>
      <c r="L39" s="33" t="n">
        <v>194</v>
      </c>
      <c r="M39" s="44" t="n">
        <f aca="false">$B$32+($B$33-$B$32)*(MIN(85,MAX(20,D39))-20)/65</f>
        <v>61.2769230769231</v>
      </c>
      <c r="N39" s="38" t="n">
        <v>1</v>
      </c>
      <c r="O39" s="44" t="n">
        <f aca="false">IF(SUMPRODUCT($B$36:$B$44,$J$36:$J$44)&gt;0,B47*1000000000*J39/SUMPRODUCT($B$36:$B$44,$J$36:$J$44),0)</f>
        <v>0</v>
      </c>
      <c r="P39" s="44" t="n">
        <f aca="false">IF(SUMPRODUCT($B$36:$B$44,$K$36:$K$44)&gt;0,B48*1000000000*K39/SUMPRODUCT($B$36:$B$44,$K$36:$K$44),0)</f>
        <v>0</v>
      </c>
      <c r="Q39" s="44" t="n">
        <f aca="false">-$B$9*$B$24*1000000000*L39/SUMPRODUCT($B$36:$B$44,$L$36:$L$44)</f>
        <v>-0</v>
      </c>
      <c r="R39" s="44" t="n">
        <f aca="false">(B50+B52)*1000000000*M39/SUMPRODUCT($B$36:$B$44,$M$36:$M$44)</f>
        <v>0</v>
      </c>
      <c r="S39" s="44" t="n">
        <f aca="false">B51*1000000000*N39/SUMPRODUCT($B$36:$B$44,$N$36:$N$44)</f>
        <v>0</v>
      </c>
      <c r="T39" s="45" t="n">
        <f aca="false">I39+(O39+P39)*$B$26+Q39*(1-$B$25)</f>
        <v>0</v>
      </c>
      <c r="U39" s="45" t="n">
        <f aca="false">(O39+P39)*(1-$B$26)+Q39*$B$25+R39</f>
        <v>0</v>
      </c>
    </row>
    <row r="40" customFormat="false" ht="15" hidden="false" customHeight="false" outlineLevel="0" collapsed="false">
      <c r="A40" s="5" t="s">
        <v>238</v>
      </c>
      <c r="B40" s="16" t="n">
        <v>8488253</v>
      </c>
      <c r="C40" s="42" t="n">
        <v>21</v>
      </c>
      <c r="D40" s="43" t="n">
        <v>45.5</v>
      </c>
      <c r="E40" s="46" t="n">
        <v>2.308914</v>
      </c>
      <c r="F40" s="44" t="n">
        <f aca="false">EXP((E40+LN($B$17*0.5))+$B$16^2/2)*_xlfn.NORM.S.DIST(((LN($B$18)-(E40+LN($B$17*0.5)))/$B$16)-$B$16,TRUE())+$B$18*(1-_xlfn.NORM.S.DIST(((LN($B$18)-(E40+LN($B$17*0.5)))/$B$16),TRUE()))</f>
        <v>20.9999986353782</v>
      </c>
      <c r="G40" s="44" t="n">
        <f aca="false">EXP((E40+LN($B$17*1))+$B$16^2/2)*_xlfn.NORM.S.DIST(((LN($B$19)-(E40+LN($B$17*1)))/$B$16)-$B$16,TRUE())+$B$19*(1-_xlfn.NORM.S.DIST(((LN($B$19)-(E40+LN($B$17*1)))/$B$16),TRUE()))</f>
        <v>38.1164964018489</v>
      </c>
      <c r="H40" s="44" t="n">
        <f aca="false">EXP((E40+LN($B$17*$B$5))+$B$16^2/2)*_xlfn.NORM.S.DIST(((LN($B$4)-(E40+LN($B$17*$B$5)))/$B$16)-$B$16,TRUE())+$B$4*(1-_xlfn.NORM.S.DIST(((LN($B$4)-(E40+LN($B$17*$B$5)))/$B$16),TRUE()))</f>
        <v>38.1164964018489</v>
      </c>
      <c r="I40" s="44" t="n">
        <f aca="false">H40-G40</f>
        <v>0</v>
      </c>
      <c r="J40" s="33" t="n">
        <v>232</v>
      </c>
      <c r="K40" s="33" t="n">
        <v>1713</v>
      </c>
      <c r="L40" s="33" t="n">
        <v>303</v>
      </c>
      <c r="M40" s="44" t="n">
        <f aca="false">$B$32+($B$33-$B$32)*(MIN(85,MAX(20,D40))-20)/65</f>
        <v>77.5846153846154</v>
      </c>
      <c r="N40" s="38" t="n">
        <v>1</v>
      </c>
      <c r="O40" s="44" t="n">
        <f aca="false">IF(SUMPRODUCT($B$36:$B$44,$J$36:$J$44)&gt;0,B47*1000000000*J40/SUMPRODUCT($B$36:$B$44,$J$36:$J$44),0)</f>
        <v>0</v>
      </c>
      <c r="P40" s="44" t="n">
        <f aca="false">IF(SUMPRODUCT($B$36:$B$44,$K$36:$K$44)&gt;0,B48*1000000000*K40/SUMPRODUCT($B$36:$B$44,$K$36:$K$44),0)</f>
        <v>0</v>
      </c>
      <c r="Q40" s="44" t="n">
        <f aca="false">-$B$9*$B$24*1000000000*L40/SUMPRODUCT($B$36:$B$44,$L$36:$L$44)</f>
        <v>-0</v>
      </c>
      <c r="R40" s="44" t="n">
        <f aca="false">(B50+B52)*1000000000*M40/SUMPRODUCT($B$36:$B$44,$M$36:$M$44)</f>
        <v>0</v>
      </c>
      <c r="S40" s="44" t="n">
        <f aca="false">B51*1000000000*N40/SUMPRODUCT($B$36:$B$44,$N$36:$N$44)</f>
        <v>0</v>
      </c>
      <c r="T40" s="45" t="n">
        <f aca="false">I40+(O40+P40)*$B$26+Q40*(1-$B$25)</f>
        <v>0</v>
      </c>
      <c r="U40" s="45" t="n">
        <f aca="false">(O40+P40)*(1-$B$26)+Q40*$B$25+R40</f>
        <v>0</v>
      </c>
    </row>
    <row r="41" customFormat="false" ht="15" hidden="false" customHeight="false" outlineLevel="0" collapsed="false">
      <c r="A41" s="5" t="s">
        <v>239</v>
      </c>
      <c r="B41" s="16" t="n">
        <v>8912890</v>
      </c>
      <c r="C41" s="42" t="n">
        <v>27</v>
      </c>
      <c r="D41" s="43" t="n">
        <v>55.5</v>
      </c>
      <c r="E41" s="46" t="n">
        <v>2.653616</v>
      </c>
      <c r="F41" s="44" t="n">
        <f aca="false">EXP((E41+LN($B$17*0.5))+$B$16^2/2)*_xlfn.NORM.S.DIST(((LN($B$18)-(E41+LN($B$17*0.5)))/$B$16)-$B$16,TRUE())+$B$18*(1-_xlfn.NORM.S.DIST(((LN($B$18)-(E41+LN($B$17*0.5)))/$B$16),TRUE()))</f>
        <v>26.999998837631</v>
      </c>
      <c r="G41" s="44" t="n">
        <f aca="false">EXP((E41+LN($B$17*1))+$B$16^2/2)*_xlfn.NORM.S.DIST(((LN($B$19)-(E41+LN($B$17*1)))/$B$16)-$B$16,TRUE())+$B$19*(1-_xlfn.NORM.S.DIST(((LN($B$19)-(E41+LN($B$17*1)))/$B$16),TRUE()))</f>
        <v>47.8851711424807</v>
      </c>
      <c r="H41" s="44" t="n">
        <f aca="false">EXP((E41+LN($B$17*$B$5))+$B$16^2/2)*_xlfn.NORM.S.DIST(((LN($B$4)-(E41+LN($B$17*$B$5)))/$B$16)-$B$16,TRUE())+$B$4*(1-_xlfn.NORM.S.DIST(((LN($B$4)-(E41+LN($B$17*$B$5)))/$B$16),TRUE()))</f>
        <v>47.8851711424807</v>
      </c>
      <c r="I41" s="44" t="n">
        <f aca="false">H41-G41</f>
        <v>0</v>
      </c>
      <c r="J41" s="33" t="n">
        <v>276</v>
      </c>
      <c r="K41" s="33" t="n">
        <v>2557</v>
      </c>
      <c r="L41" s="33" t="n">
        <v>407</v>
      </c>
      <c r="M41" s="44" t="n">
        <f aca="false">$B$32+($B$33-$B$32)*(MIN(85,MAX(20,D41))-20)/65</f>
        <v>93.8923076923077</v>
      </c>
      <c r="N41" s="38" t="n">
        <v>1</v>
      </c>
      <c r="O41" s="44" t="n">
        <f aca="false">IF(SUMPRODUCT($B$36:$B$44,$J$36:$J$44)&gt;0,B47*1000000000*J41/SUMPRODUCT($B$36:$B$44,$J$36:$J$44),0)</f>
        <v>0</v>
      </c>
      <c r="P41" s="44" t="n">
        <f aca="false">IF(SUMPRODUCT($B$36:$B$44,$K$36:$K$44)&gt;0,B48*1000000000*K41/SUMPRODUCT($B$36:$B$44,$K$36:$K$44),0)</f>
        <v>0</v>
      </c>
      <c r="Q41" s="44" t="n">
        <f aca="false">-$B$9*$B$24*1000000000*L41/SUMPRODUCT($B$36:$B$44,$L$36:$L$44)</f>
        <v>-0</v>
      </c>
      <c r="R41" s="44" t="n">
        <f aca="false">(B50+B52)*1000000000*M41/SUMPRODUCT($B$36:$B$44,$M$36:$M$44)</f>
        <v>0</v>
      </c>
      <c r="S41" s="44" t="n">
        <f aca="false">B51*1000000000*N41/SUMPRODUCT($B$36:$B$44,$N$36:$N$44)</f>
        <v>0</v>
      </c>
      <c r="T41" s="45" t="n">
        <f aca="false">I41+(O41+P41)*$B$26+Q41*(1-$B$25)</f>
        <v>0</v>
      </c>
      <c r="U41" s="45" t="n">
        <f aca="false">(O41+P41)*(1-$B$26)+Q41*$B$25+R41</f>
        <v>0</v>
      </c>
    </row>
    <row r="42" customFormat="false" ht="15" hidden="false" customHeight="false" outlineLevel="0" collapsed="false">
      <c r="A42" s="5" t="s">
        <v>240</v>
      </c>
      <c r="B42" s="16" t="n">
        <v>7991246</v>
      </c>
      <c r="C42" s="42" t="n">
        <v>35</v>
      </c>
      <c r="D42" s="43" t="n">
        <v>65.5</v>
      </c>
      <c r="E42" s="46" t="n">
        <v>3.047169</v>
      </c>
      <c r="F42" s="44" t="n">
        <f aca="false">EXP((E42+LN($B$17*0.5))+$B$16^2/2)*_xlfn.NORM.S.DIST(((LN($B$18)-(E42+LN($B$17*0.5)))/$B$16)-$B$16,TRUE())+$B$18*(1-_xlfn.NORM.S.DIST(((LN($B$18)-(E42+LN($B$17*0.5)))/$B$16),TRUE()))</f>
        <v>34.999992393583</v>
      </c>
      <c r="G42" s="44" t="n">
        <f aca="false">EXP((E42+LN($B$17*1))+$B$16^2/2)*_xlfn.NORM.S.DIST(((LN($B$19)-(E42+LN($B$17*1)))/$B$16)-$B$16,TRUE())+$B$19*(1-_xlfn.NORM.S.DIST(((LN($B$19)-(E42+LN($B$17*1)))/$B$16),TRUE()))</f>
        <v>60.3401848286739</v>
      </c>
      <c r="H42" s="44" t="n">
        <f aca="false">EXP((E42+LN($B$17*$B$5))+$B$16^2/2)*_xlfn.NORM.S.DIST(((LN($B$4)-(E42+LN($B$17*$B$5)))/$B$16)-$B$16,TRUE())+$B$4*(1-_xlfn.NORM.S.DIST(((LN($B$4)-(E42+LN($B$17*$B$5)))/$B$16),TRUE()))</f>
        <v>60.3401848286739</v>
      </c>
      <c r="I42" s="44" t="n">
        <f aca="false">H42-G42</f>
        <v>0</v>
      </c>
      <c r="J42" s="33" t="n">
        <v>333</v>
      </c>
      <c r="K42" s="33" t="n">
        <v>3822</v>
      </c>
      <c r="L42" s="33" t="n">
        <v>444</v>
      </c>
      <c r="M42" s="44" t="n">
        <f aca="false">$B$32+($B$33-$B$32)*(MIN(85,MAX(20,D42))-20)/65</f>
        <v>110.2</v>
      </c>
      <c r="N42" s="38" t="n">
        <v>0</v>
      </c>
      <c r="O42" s="44" t="n">
        <f aca="false">IF(SUMPRODUCT($B$36:$B$44,$J$36:$J$44)&gt;0,B47*1000000000*J42/SUMPRODUCT($B$36:$B$44,$J$36:$J$44),0)</f>
        <v>0</v>
      </c>
      <c r="P42" s="44" t="n">
        <f aca="false">IF(SUMPRODUCT($B$36:$B$44,$K$36:$K$44)&gt;0,B48*1000000000*K42/SUMPRODUCT($B$36:$B$44,$K$36:$K$44),0)</f>
        <v>0</v>
      </c>
      <c r="Q42" s="44" t="n">
        <f aca="false">-$B$9*$B$24*1000000000*L42/SUMPRODUCT($B$36:$B$44,$L$36:$L$44)</f>
        <v>-0</v>
      </c>
      <c r="R42" s="44" t="n">
        <f aca="false">(B50+B52)*1000000000*M42/SUMPRODUCT($B$36:$B$44,$M$36:$M$44)</f>
        <v>0</v>
      </c>
      <c r="S42" s="44" t="n">
        <f aca="false">B51*1000000000*N42/SUMPRODUCT($B$36:$B$44,$N$36:$N$44)</f>
        <v>0</v>
      </c>
      <c r="T42" s="45" t="n">
        <f aca="false">I42+(O42+P42)*$B$26+Q42*(1-$B$25)</f>
        <v>0</v>
      </c>
      <c r="U42" s="45" t="n">
        <f aca="false">(O42+P42)*(1-$B$26)+Q42*$B$25+R42</f>
        <v>0</v>
      </c>
    </row>
    <row r="43" customFormat="false" ht="15" hidden="false" customHeight="false" outlineLevel="0" collapsed="false">
      <c r="A43" s="5" t="s">
        <v>241</v>
      </c>
      <c r="B43" s="16" t="n">
        <v>6355648</v>
      </c>
      <c r="C43" s="42" t="n">
        <v>46</v>
      </c>
      <c r="D43" s="43" t="n">
        <v>75.5</v>
      </c>
      <c r="E43" s="46" t="n">
        <v>3.525834</v>
      </c>
      <c r="F43" s="44" t="n">
        <f aca="false">EXP((E43+LN($B$17*0.5))+$B$16^2/2)*_xlfn.NORM.S.DIST(((LN($B$18)-(E43+LN($B$17*0.5)))/$B$16)-$B$16,TRUE())+$B$18*(1-_xlfn.NORM.S.DIST(((LN($B$18)-(E43+LN($B$17*0.5)))/$B$16),TRUE()))</f>
        <v>45.9999909877093</v>
      </c>
      <c r="G43" s="44" t="n">
        <f aca="false">EXP((E43+LN($B$17*1))+$B$16^2/2)*_xlfn.NORM.S.DIST(((LN($B$19)-(E43+LN($B$17*1)))/$B$16)-$B$16,TRUE())+$B$19*(1-_xlfn.NORM.S.DIST(((LN($B$19)-(E43+LN($B$17*1)))/$B$16),TRUE()))</f>
        <v>76.5173238487017</v>
      </c>
      <c r="H43" s="44" t="n">
        <f aca="false">EXP((E43+LN($B$17*$B$5))+$B$16^2/2)*_xlfn.NORM.S.DIST(((LN($B$4)-(E43+LN($B$17*$B$5)))/$B$16)-$B$16,TRUE())+$B$4*(1-_xlfn.NORM.S.DIST(((LN($B$4)-(E43+LN($B$17*$B$5)))/$B$16),TRUE()))</f>
        <v>76.5173238487017</v>
      </c>
      <c r="I43" s="44" t="n">
        <f aca="false">H43-G43</f>
        <v>0</v>
      </c>
      <c r="J43" s="33" t="n">
        <v>452</v>
      </c>
      <c r="K43" s="33" t="n">
        <v>5587</v>
      </c>
      <c r="L43" s="33" t="n">
        <v>497</v>
      </c>
      <c r="M43" s="44" t="n">
        <f aca="false">$B$32+($B$33-$B$32)*(MIN(85,MAX(20,D43))-20)/65</f>
        <v>126.507692307692</v>
      </c>
      <c r="N43" s="38" t="n">
        <v>0</v>
      </c>
      <c r="O43" s="44" t="n">
        <f aca="false">IF(SUMPRODUCT($B$36:$B$44,$J$36:$J$44)&gt;0,B47*1000000000*J43/SUMPRODUCT($B$36:$B$44,$J$36:$J$44),0)</f>
        <v>0</v>
      </c>
      <c r="P43" s="44" t="n">
        <f aca="false">IF(SUMPRODUCT($B$36:$B$44,$K$36:$K$44)&gt;0,B48*1000000000*K43/SUMPRODUCT($B$36:$B$44,$K$36:$K$44),0)</f>
        <v>0</v>
      </c>
      <c r="Q43" s="44" t="n">
        <f aca="false">-$B$9*$B$24*1000000000*L43/SUMPRODUCT($B$36:$B$44,$L$36:$L$44)</f>
        <v>-0</v>
      </c>
      <c r="R43" s="44" t="n">
        <f aca="false">(B50+B52)*1000000000*M43/SUMPRODUCT($B$36:$B$44,$M$36:$M$44)</f>
        <v>0</v>
      </c>
      <c r="S43" s="44" t="n">
        <f aca="false">B51*1000000000*N43/SUMPRODUCT($B$36:$B$44,$N$36:$N$44)</f>
        <v>0</v>
      </c>
      <c r="T43" s="45" t="n">
        <f aca="false">I43+(O43+P43)*$B$26+Q43*(1-$B$25)</f>
        <v>0</v>
      </c>
      <c r="U43" s="45" t="n">
        <f aca="false">(O43+P43)*(1-$B$26)+Q43*$B$25+R43</f>
        <v>0</v>
      </c>
    </row>
    <row r="44" customFormat="false" ht="15" hidden="false" customHeight="false" outlineLevel="0" collapsed="false">
      <c r="A44" s="5" t="s">
        <v>242</v>
      </c>
      <c r="B44" s="16" t="n">
        <v>3975523</v>
      </c>
      <c r="C44" s="42" t="n">
        <v>52</v>
      </c>
      <c r="D44" s="43" t="n">
        <v>85</v>
      </c>
      <c r="E44" s="46" t="n">
        <v>3.773603</v>
      </c>
      <c r="F44" s="44" t="n">
        <f aca="false">EXP((E44+LN($B$17*0.5))+$B$16^2/2)*_xlfn.NORM.S.DIST(((LN($B$18)-(E44+LN($B$17*0.5)))/$B$16)-$B$16,TRUE())+$B$18*(1-_xlfn.NORM.S.DIST(((LN($B$18)-(E44+LN($B$17*0.5)))/$B$16),TRUE()))</f>
        <v>52.0000030907276</v>
      </c>
      <c r="G44" s="44" t="n">
        <f aca="false">EXP((E44+LN($B$17*1))+$B$16^2/2)*_xlfn.NORM.S.DIST(((LN($B$19)-(E44+LN($B$17*1)))/$B$16)-$B$16,TRUE())+$B$19*(1-_xlfn.NORM.S.DIST(((LN($B$19)-(E44+LN($B$17*1)))/$B$16),TRUE()))</f>
        <v>84.9111369863719</v>
      </c>
      <c r="H44" s="44" t="n">
        <f aca="false">EXP((E44+LN($B$17*$B$5))+$B$16^2/2)*_xlfn.NORM.S.DIST(((LN($B$4)-(E44+LN($B$17*$B$5)))/$B$16)-$B$16,TRUE())+$B$4*(1-_xlfn.NORM.S.DIST(((LN($B$4)-(E44+LN($B$17*$B$5)))/$B$16),TRUE()))</f>
        <v>84.9111369863719</v>
      </c>
      <c r="I44" s="44" t="n">
        <f aca="false">H44-G44</f>
        <v>0</v>
      </c>
      <c r="J44" s="33" t="n">
        <v>638</v>
      </c>
      <c r="K44" s="33" t="n">
        <v>7858</v>
      </c>
      <c r="L44" s="33" t="n">
        <v>434</v>
      </c>
      <c r="M44" s="44" t="n">
        <f aca="false">$B$32+($B$33-$B$32)*(MIN(85,MAX(20,D44))-20)/65</f>
        <v>142</v>
      </c>
      <c r="N44" s="38" t="n">
        <v>0</v>
      </c>
      <c r="O44" s="44" t="n">
        <f aca="false">IF(SUMPRODUCT($B$36:$B$44,$J$36:$J$44)&gt;0,B47*1000000000*J44/SUMPRODUCT($B$36:$B$44,$J$36:$J$44),0)</f>
        <v>0</v>
      </c>
      <c r="P44" s="44" t="n">
        <f aca="false">IF(SUMPRODUCT($B$36:$B$44,$K$36:$K$44)&gt;0,B48*1000000000*K44/SUMPRODUCT($B$36:$B$44,$K$36:$K$44),0)</f>
        <v>0</v>
      </c>
      <c r="Q44" s="44" t="n">
        <f aca="false">-$B$9*$B$24*1000000000*L44/SUMPRODUCT($B$36:$B$44,$L$36:$L$44)</f>
        <v>-0</v>
      </c>
      <c r="R44" s="44" t="n">
        <f aca="false">(B50+B52)*1000000000*M44/SUMPRODUCT($B$36:$B$44,$M$36:$M$44)</f>
        <v>0</v>
      </c>
      <c r="S44" s="44" t="n">
        <f aca="false">B51*1000000000*N44/SUMPRODUCT($B$36:$B$44,$N$36:$N$44)</f>
        <v>0</v>
      </c>
      <c r="T44" s="45" t="n">
        <f aca="false">I44+(O44+P44)*$B$26+Q44*(1-$B$25)</f>
        <v>0</v>
      </c>
      <c r="U44" s="45" t="n">
        <f aca="false">(O44+P44)*(1-$B$26)+Q44*$B$25+R44</f>
        <v>0</v>
      </c>
    </row>
    <row r="45" customFormat="false" ht="35.05" hidden="false" customHeight="false" outlineLevel="0" collapsed="false">
      <c r="A45" s="13" t="s">
        <v>243</v>
      </c>
      <c r="B45" s="13" t="s">
        <v>244</v>
      </c>
      <c r="C45" s="13" t="s">
        <v>245</v>
      </c>
      <c r="D45" s="13" t="s">
        <v>246</v>
      </c>
      <c r="E45" s="13" t="s">
        <v>247</v>
      </c>
      <c r="F45" s="13" t="s">
        <v>248</v>
      </c>
    </row>
    <row r="46" customFormat="false" ht="15" hidden="false" customHeight="false" outlineLevel="0" collapsed="false">
      <c r="A46" s="4" t="s">
        <v>249</v>
      </c>
      <c r="B46" s="17" t="n">
        <f aca="false">SUMPRODUCT($B$36:$B$44,$I$36:$I$44)/1000000000</f>
        <v>0</v>
      </c>
      <c r="C46" s="17" t="n">
        <f aca="false">B46</f>
        <v>0</v>
      </c>
      <c r="D46" s="17" t="n">
        <f aca="false">0</f>
        <v>0</v>
      </c>
      <c r="E46" s="17" t="n">
        <f aca="false">0</f>
        <v>0</v>
      </c>
      <c r="F46" s="17" t="n">
        <f aca="false">0</f>
        <v>0</v>
      </c>
    </row>
    <row r="47" customFormat="false" ht="15" hidden="false" customHeight="false" outlineLevel="0" collapsed="false">
      <c r="A47" s="4" t="s">
        <v>176</v>
      </c>
      <c r="B47" s="17" t="n">
        <f aca="false">MAX(0,($B$6-$B$20)*100*$B$21)</f>
        <v>0</v>
      </c>
      <c r="C47" s="17" t="n">
        <f aca="false">B47*$B$26</f>
        <v>0</v>
      </c>
      <c r="D47" s="17" t="n">
        <f aca="false">B47*(1-$B$26)</f>
        <v>0</v>
      </c>
      <c r="E47" s="17" t="n">
        <f aca="false">0</f>
        <v>0</v>
      </c>
      <c r="F47" s="17" t="n">
        <f aca="false">0</f>
        <v>0</v>
      </c>
    </row>
    <row r="48" customFormat="false" ht="15" hidden="false" customHeight="false" outlineLevel="0" collapsed="false">
      <c r="A48" s="4" t="s">
        <v>250</v>
      </c>
      <c r="B48" s="17" t="n">
        <f aca="false">IF($B$7="Oui",$B$22,0)+IF($B$8="Oui",$B$23,0)</f>
        <v>0</v>
      </c>
      <c r="C48" s="17" t="n">
        <f aca="false">B48*$B$26</f>
        <v>0</v>
      </c>
      <c r="D48" s="17" t="n">
        <f aca="false">B48*(1-$B$26)</f>
        <v>0</v>
      </c>
      <c r="E48" s="17" t="n">
        <f aca="false">0</f>
        <v>0</v>
      </c>
      <c r="F48" s="17" t="n">
        <f aca="false">0</f>
        <v>0</v>
      </c>
    </row>
    <row r="49" customFormat="false" ht="15" hidden="false" customHeight="false" outlineLevel="0" collapsed="false">
      <c r="A49" s="4" t="s">
        <v>251</v>
      </c>
      <c r="B49" s="17" t="n">
        <f aca="false">$B$10*($B$24-$B$9*$B$24)</f>
        <v>0</v>
      </c>
      <c r="C49" s="17" t="n">
        <f aca="false">-$B$9*$B$24*(1-$B$25)</f>
        <v>-0</v>
      </c>
      <c r="D49" s="17" t="n">
        <f aca="false">-$B$9*$B$24*$B$25</f>
        <v>-0</v>
      </c>
      <c r="E49" s="17" t="n">
        <f aca="false">0</f>
        <v>0</v>
      </c>
      <c r="F49" s="17" t="n">
        <f aca="false">$B$9*$B$24+B49</f>
        <v>0</v>
      </c>
    </row>
    <row r="50" customFormat="false" ht="15" hidden="false" customHeight="false" outlineLevel="0" collapsed="false">
      <c r="A50" s="4" t="s">
        <v>252</v>
      </c>
      <c r="B50" s="17" t="n">
        <f aca="false">$B$11*$B$28/($B$27*100)</f>
        <v>0</v>
      </c>
      <c r="C50" s="17" t="n">
        <f aca="false">0</f>
        <v>0</v>
      </c>
      <c r="D50" s="17" t="n">
        <f aca="false">B50</f>
        <v>0</v>
      </c>
      <c r="E50" s="17" t="n">
        <f aca="false">0</f>
        <v>0</v>
      </c>
      <c r="F50" s="17" t="n">
        <f aca="false">0</f>
        <v>0</v>
      </c>
    </row>
    <row r="51" customFormat="false" ht="15" hidden="false" customHeight="false" outlineLevel="0" collapsed="false">
      <c r="A51" s="4" t="s">
        <v>253</v>
      </c>
      <c r="B51" s="17" t="n">
        <f aca="false">MIN($B$30,MAX(0,($B$12-$B$31)*$B$29))</f>
        <v>0</v>
      </c>
      <c r="C51" s="17" t="n">
        <f aca="false">0</f>
        <v>0</v>
      </c>
      <c r="D51" s="17" t="n">
        <f aca="false">0</f>
        <v>0</v>
      </c>
      <c r="E51" s="17" t="n">
        <f aca="false">B51</f>
        <v>0</v>
      </c>
      <c r="F51" s="17" t="n">
        <f aca="false">0</f>
        <v>0</v>
      </c>
    </row>
    <row r="52" customFormat="false" ht="15" hidden="false" customHeight="false" outlineLevel="0" collapsed="false">
      <c r="A52" s="4" t="s">
        <v>254</v>
      </c>
      <c r="B52" s="17" t="n">
        <f aca="false">(D47+D48+D49+D51)*($B$27+$B$11/100)</f>
        <v>0</v>
      </c>
      <c r="C52" s="17" t="n">
        <f aca="false">0</f>
        <v>0</v>
      </c>
      <c r="D52" s="17" t="n">
        <f aca="false">B52</f>
        <v>0</v>
      </c>
      <c r="E52" s="17" t="n">
        <f aca="false">0</f>
        <v>0</v>
      </c>
      <c r="F52" s="17" t="n">
        <f aca="false">0</f>
        <v>0</v>
      </c>
    </row>
    <row r="54" customFormat="false" ht="15" hidden="false" customHeight="false" outlineLevel="0" collapsed="false">
      <c r="A54" s="3" t="s">
        <v>152</v>
      </c>
      <c r="B54" s="18" t="n">
        <f aca="false">SUM(B46:B52)</f>
        <v>0</v>
      </c>
      <c r="C54" s="47" t="n">
        <f aca="false">SUM(C46:C52)</f>
        <v>0</v>
      </c>
      <c r="D54" s="47" t="n">
        <f aca="false">SUM(D46:D52)</f>
        <v>0</v>
      </c>
      <c r="E54" s="47" t="n">
        <f aca="false">SUM(E46:E52)</f>
        <v>0</v>
      </c>
      <c r="F54" s="47" t="n">
        <f aca="false">SUM(F46:F52)</f>
        <v>0</v>
      </c>
    </row>
    <row r="56" customFormat="false" ht="15" hidden="false" customHeight="false" outlineLevel="0" collapsed="false">
      <c r="A56" s="3" t="s">
        <v>255</v>
      </c>
    </row>
    <row r="57" customFormat="false" ht="15" hidden="false" customHeight="false" outlineLevel="0" collapsed="false">
      <c r="A57" s="4" t="s">
        <v>256</v>
      </c>
      <c r="B57" s="17" t="n">
        <f aca="false">SUMPRODUCT($B$42:$B$44,$T$42:$T$44)/1000000000+SUMPRODUCT($B$42:$B$44,$U$42:$U$44)/1000000000</f>
        <v>0</v>
      </c>
    </row>
    <row r="59" customFormat="false" ht="15" hidden="false" customHeight="false" outlineLevel="0" collapsed="false">
      <c r="A59" s="4" t="s">
        <v>257</v>
      </c>
      <c r="B59" s="17" t="n">
        <f aca="false">C54-B60</f>
        <v>0</v>
      </c>
    </row>
    <row r="60" customFormat="false" ht="15" hidden="false" customHeight="false" outlineLevel="0" collapsed="false">
      <c r="A60" s="4" t="s">
        <v>258</v>
      </c>
      <c r="B60" s="17" t="n">
        <f aca="false">IF(SUMPRODUCT($B$36:$B$44,$T$36:$T$44)&lt;&gt;0,C54*SUMPRODUCT($B$42:$B$44,$T$42:$T$44)/SUMPRODUCT($B$36:$B$44,$T$36:$T$44),C54*B70)</f>
        <v>0</v>
      </c>
    </row>
    <row r="61" customFormat="false" ht="15" hidden="false" customHeight="false" outlineLevel="0" collapsed="false">
      <c r="A61" s="4" t="s">
        <v>259</v>
      </c>
      <c r="B61" s="17" t="n">
        <f aca="false">D54-B62</f>
        <v>0</v>
      </c>
    </row>
    <row r="62" customFormat="false" ht="15" hidden="false" customHeight="false" outlineLevel="0" collapsed="false">
      <c r="A62" s="4" t="s">
        <v>260</v>
      </c>
      <c r="B62" s="17" t="n">
        <f aca="false">IF(SUMPRODUCT($B$36:$B$44,$U$36:$U$44)&lt;&gt;0,D54*SUMPRODUCT($B$42:$B$44,$U$42:$U$44)/SUMPRODUCT($B$36:$B$44,$U$36:$U$44),D54*B71)</f>
        <v>0</v>
      </c>
    </row>
    <row r="63" customFormat="false" ht="15" hidden="false" customHeight="false" outlineLevel="0" collapsed="false">
      <c r="A63" s="4" t="s">
        <v>261</v>
      </c>
      <c r="B63" s="17" t="n">
        <f aca="false">19.96*(1-B70)</f>
        <v>11.2682214690526</v>
      </c>
    </row>
    <row r="64" customFormat="false" ht="15" hidden="false" customHeight="false" outlineLevel="0" collapsed="false">
      <c r="A64" s="4" t="s">
        <v>262</v>
      </c>
      <c r="B64" s="17" t="n">
        <f aca="false">19.96*B70</f>
        <v>8.69177853094743</v>
      </c>
    </row>
    <row r="65" customFormat="false" ht="15" hidden="false" customHeight="false" outlineLevel="0" collapsed="false">
      <c r="A65" s="4" t="s">
        <v>263</v>
      </c>
      <c r="B65" s="17" t="n">
        <f aca="false">$B$28/$B$27*(1-B71)</f>
        <v>34.3880005505847</v>
      </c>
    </row>
    <row r="66" customFormat="false" ht="15" hidden="false" customHeight="false" outlineLevel="0" collapsed="false">
      <c r="A66" s="4" t="s">
        <v>264</v>
      </c>
      <c r="B66" s="17" t="n">
        <f aca="false">$B$28/$B$27*B71</f>
        <v>15.0317432323844</v>
      </c>
    </row>
    <row r="67" customFormat="false" ht="15" hidden="false" customHeight="false" outlineLevel="0" collapsed="false">
      <c r="A67" s="4" t="s">
        <v>265</v>
      </c>
      <c r="B67" s="17" t="n">
        <f aca="false">1108.5*0.78/0.841</f>
        <v>1028.09750297265</v>
      </c>
    </row>
    <row r="68" customFormat="false" ht="15" hidden="false" customHeight="false" outlineLevel="0" collapsed="false">
      <c r="A68" s="4" t="s">
        <v>266</v>
      </c>
      <c r="B68" s="48" t="n">
        <f aca="false">(C54+D54)/Bouclier!$C$43</f>
        <v>0</v>
      </c>
    </row>
    <row r="70" customFormat="false" ht="15" hidden="false" customHeight="false" outlineLevel="0" collapsed="false">
      <c r="A70" s="4" t="s">
        <v>267</v>
      </c>
      <c r="B70" s="49" t="n">
        <f aca="false">SUMPRODUCT($B$42:$B$44,$J$42:$J$44+$L$42:$L$44+$C$42:$C$44)/SUMPRODUCT($B$36:$B$44,$J$36:$J$44+$L$36:$L$44+$C$36:$C$44)</f>
        <v>0.435459846239851</v>
      </c>
    </row>
    <row r="71" customFormat="false" ht="15" hidden="false" customHeight="false" outlineLevel="0" collapsed="false">
      <c r="A71" s="4" t="s">
        <v>268</v>
      </c>
      <c r="B71" s="49" t="n">
        <f aca="false">SUM($B$42:$B$44)/(SUM($B$36:$B$44)-B36)</f>
        <v>0.304164734208205</v>
      </c>
    </row>
    <row r="73" customFormat="false" ht="15" hidden="false" customHeight="false" outlineLevel="0" collapsed="false">
      <c r="A73" s="2" t="s">
        <v>269</v>
      </c>
    </row>
    <row r="74" customFormat="false" ht="15" hidden="false" customHeight="false" outlineLevel="0" collapsed="false">
      <c r="A74" s="5" t="s">
        <v>270</v>
      </c>
      <c r="B74" s="17" t="n">
        <f aca="false">SUMPRODUCT($B$36:$B$44,G36:G44)/1000000000</f>
        <v>2.56008321067697</v>
      </c>
    </row>
    <row r="75" customFormat="false" ht="15" hidden="false" customHeight="false" outlineLevel="0" collapsed="false">
      <c r="A75" s="2" t="s">
        <v>271</v>
      </c>
    </row>
  </sheetData>
  <dataValidations count="2">
    <dataValidation allowBlank="false" errorStyle="stop" operator="between" showDropDown="false" showErrorMessage="false" showInputMessage="false" sqref="B7" type="list">
      <formula1>"Oui,Non"</formula1>
      <formula2>0</formula2>
    </dataValidation>
    <dataValidation allowBlank="false" errorStyle="stop" operator="between" showDropDown="false" showErrorMessage="false" showInputMessage="false" sqref="B8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272</v>
      </c>
    </row>
    <row r="3" customFormat="false" ht="15" hidden="false" customHeight="false" outlineLevel="0" collapsed="false">
      <c r="A3" s="13" t="s">
        <v>273</v>
      </c>
      <c r="B3" s="13" t="s">
        <v>34</v>
      </c>
      <c r="C3" s="13" t="s">
        <v>274</v>
      </c>
    </row>
    <row r="4" customFormat="false" ht="15" hidden="false" customHeight="false" outlineLevel="0" collapsed="false">
      <c r="A4" s="4" t="s">
        <v>275</v>
      </c>
      <c r="B4" s="4" t="s">
        <v>276</v>
      </c>
      <c r="C4" s="50" t="s">
        <v>277</v>
      </c>
    </row>
    <row r="5" customFormat="false" ht="15" hidden="false" customHeight="false" outlineLevel="0" collapsed="false">
      <c r="A5" s="4" t="s">
        <v>278</v>
      </c>
      <c r="B5" s="4" t="s">
        <v>279</v>
      </c>
      <c r="C5" s="50" t="s">
        <v>277</v>
      </c>
    </row>
    <row r="6" customFormat="false" ht="15" hidden="false" customHeight="false" outlineLevel="0" collapsed="false">
      <c r="A6" s="4" t="s">
        <v>280</v>
      </c>
      <c r="B6" s="4" t="s">
        <v>64</v>
      </c>
      <c r="C6" s="50" t="s">
        <v>281</v>
      </c>
    </row>
    <row r="7" customFormat="false" ht="15" hidden="false" customHeight="false" outlineLevel="0" collapsed="false">
      <c r="A7" s="4" t="s">
        <v>282</v>
      </c>
      <c r="B7" s="4" t="s">
        <v>67</v>
      </c>
      <c r="C7" s="50" t="s">
        <v>283</v>
      </c>
    </row>
    <row r="8" customFormat="false" ht="15" hidden="false" customHeight="false" outlineLevel="0" collapsed="false">
      <c r="A8" s="4" t="s">
        <v>284</v>
      </c>
      <c r="B8" s="4" t="s">
        <v>285</v>
      </c>
      <c r="C8" s="50" t="s">
        <v>286</v>
      </c>
    </row>
    <row r="9" customFormat="false" ht="15" hidden="false" customHeight="false" outlineLevel="0" collapsed="false">
      <c r="A9" s="4" t="s">
        <v>287</v>
      </c>
      <c r="B9" s="4" t="s">
        <v>41</v>
      </c>
      <c r="C9" s="50" t="s">
        <v>288</v>
      </c>
    </row>
    <row r="10" customFormat="false" ht="15" hidden="false" customHeight="false" outlineLevel="0" collapsed="false">
      <c r="A10" s="4" t="s">
        <v>289</v>
      </c>
      <c r="B10" s="4" t="s">
        <v>50</v>
      </c>
      <c r="C10" s="50" t="s">
        <v>290</v>
      </c>
    </row>
    <row r="11" customFormat="false" ht="23.85" hidden="false" customHeight="false" outlineLevel="0" collapsed="false">
      <c r="A11" s="4" t="s">
        <v>291</v>
      </c>
      <c r="B11" s="4" t="s">
        <v>53</v>
      </c>
    </row>
    <row r="12" customFormat="false" ht="15" hidden="false" customHeight="false" outlineLevel="0" collapsed="false">
      <c r="A12" s="4" t="s">
        <v>292</v>
      </c>
      <c r="B12" s="4" t="s">
        <v>293</v>
      </c>
      <c r="C12" s="50" t="s">
        <v>294</v>
      </c>
    </row>
    <row r="13" customFormat="false" ht="15" hidden="false" customHeight="false" outlineLevel="0" collapsed="false">
      <c r="A13" s="4" t="s">
        <v>295</v>
      </c>
      <c r="B13" s="4" t="s">
        <v>296</v>
      </c>
      <c r="C13" s="50" t="s">
        <v>297</v>
      </c>
    </row>
    <row r="14" customFormat="false" ht="23.85" hidden="false" customHeight="false" outlineLevel="0" collapsed="false">
      <c r="A14" s="4" t="s">
        <v>176</v>
      </c>
      <c r="B14" s="4" t="s">
        <v>298</v>
      </c>
      <c r="C14" s="50" t="s">
        <v>299</v>
      </c>
    </row>
    <row r="15" customFormat="false" ht="15" hidden="false" customHeight="false" outlineLevel="0" collapsed="false">
      <c r="A15" s="4" t="s">
        <v>300</v>
      </c>
      <c r="B15" s="4" t="s">
        <v>301</v>
      </c>
      <c r="C15" s="50" t="s">
        <v>302</v>
      </c>
    </row>
    <row r="16" customFormat="false" ht="15" hidden="false" customHeight="false" outlineLevel="0" collapsed="false">
      <c r="A16" s="4" t="s">
        <v>303</v>
      </c>
      <c r="B16" s="4" t="s">
        <v>304</v>
      </c>
      <c r="C16" s="50" t="s">
        <v>281</v>
      </c>
    </row>
    <row r="17" customFormat="false" ht="15" hidden="false" customHeight="false" outlineLevel="0" collapsed="false">
      <c r="A17" s="4" t="s">
        <v>305</v>
      </c>
      <c r="B17" s="4" t="s">
        <v>306</v>
      </c>
      <c r="C17" s="50" t="s">
        <v>307</v>
      </c>
    </row>
    <row r="18" customFormat="false" ht="15" hidden="false" customHeight="false" outlineLevel="0" collapsed="false">
      <c r="A18" s="4" t="s">
        <v>252</v>
      </c>
      <c r="B18" s="4" t="s">
        <v>308</v>
      </c>
      <c r="C18" s="50" t="s">
        <v>309</v>
      </c>
    </row>
    <row r="19" customFormat="false" ht="15" hidden="false" customHeight="false" outlineLevel="0" collapsed="false">
      <c r="A19" s="4" t="s">
        <v>310</v>
      </c>
      <c r="B19" s="4" t="s">
        <v>311</v>
      </c>
      <c r="C19" s="50" t="s">
        <v>312</v>
      </c>
    </row>
    <row r="20" customFormat="false" ht="15" hidden="false" customHeight="false" outlineLevel="0" collapsed="false">
      <c r="A20" s="4" t="s">
        <v>313</v>
      </c>
      <c r="B20" s="4" t="s">
        <v>314</v>
      </c>
      <c r="C20" s="50" t="s">
        <v>315</v>
      </c>
    </row>
  </sheetData>
  <hyperlinks>
    <hyperlink ref="C4" r:id="rId1" display="https://drees.solidarites-sante.gouv.fr/publications-communique-de-presse/250828_ER_depenses-de-sante"/>
    <hyperlink ref="C5" r:id="rId2" display="https://drees.solidarites-sante.gouv.fr/publications-communique-de-presse/250828_ER_depenses-de-sante"/>
    <hyperlink ref="C6" r:id="rId3" display="https://www.securite-sociale.fr/files/live/sites/SSFR/files/medias/CCSS/2026/CCSS%20mai%202026_assembl%C3%A9_V2.pdf"/>
    <hyperlink ref="C7" r:id="rId4" display="https://questions.assemblee-nationale.fr/q17/17-161QE.htm"/>
    <hyperlink ref="C8" r:id="rId5" display="https://www.insee.fr/fr/statistiques/5431993"/>
    <hyperlink ref="C9" r:id="rId6" display="https://www.service-public.gouv.fr/particuliers/vosdroits/F2971"/>
    <hyperlink ref="C10" r:id="rId7" display="https://www.ipp.eu/wp-content/uploads/2026/07/Chapitre_Desindexation_retraite___Rapport_Perspectives_Budgetaires_2027-4.pdf"/>
    <hyperlink ref="C12" r:id="rId8" display="https://www.service-public.gouv.fr/particuliers/actualites/A17166"/>
    <hyperlink ref="C13" r:id="rId9" display="https://data.drees.solidarites-sante.gouv.fr/explore/dataset/depenses-de-sante-et-restes-a-charge/information/"/>
    <hyperlink ref="C14" r:id="rId10" display="https://www.publicsenat.fr/actualites/sante/consultations-medicales-la-ministre-de-la-sante-tempere-sur-la-hausse-du-ticket-moderateur"/>
    <hyperlink ref="C15" r:id="rId11" display="https://www.legifrance.gouv.fr/jorf/jo/2026/08/22/0195"/>
    <hyperlink ref="C16" r:id="rId12" display="https://www.securite-sociale.fr/files/live/sites/SSFR/files/medias/CCSS/2026/CCSS%20mai%202026_assembl%C3%A9_V2.pdf"/>
    <hyperlink ref="C17" r:id="rId13" display="https://www.apmnews.com/documents/202510231649030.rapport_consolide_depassements_dhonoraires_VF_compressed.pdf"/>
    <hyperlink ref="C18" r:id="rId14" display="https://www.legifrance.gouv.fr/codes/article_lc/LEGIARTI000042698839"/>
    <hyperlink ref="C19" r:id="rId15" display="https://www.assemblee-nationale.fr/dyn/contenu/visualisation/1088679/file/PLFSS2026-Annexe4-20251014-183718-59-11_avec%20couverture-2.pdf"/>
    <hyperlink ref="C20" r:id="rId16" display="https://drees.solidarites-sante.gouv.fr/communique-de-presse-jeux-de-donnees/jeux-de-donnees/250923_DATA_organismes-couvertures-compl%C3%A9mentaires-sant%C3%A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4" customFormat="false" ht="15" hidden="false" customHeight="false" outlineLevel="0" collapsed="false">
      <c r="A4" s="13" t="s">
        <v>273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274</v>
      </c>
      <c r="G4" s="13" t="s">
        <v>318</v>
      </c>
      <c r="H4" s="13" t="s">
        <v>319</v>
      </c>
    </row>
    <row r="5" customFormat="false" ht="15" hidden="false" customHeight="false" outlineLevel="0" collapsed="false">
      <c r="A5" s="4" t="s">
        <v>320</v>
      </c>
      <c r="B5" s="4" t="s">
        <v>321</v>
      </c>
      <c r="C5" s="4" t="s">
        <v>55</v>
      </c>
      <c r="D5" s="4" t="s">
        <v>322</v>
      </c>
      <c r="E5" s="4" t="s">
        <v>323</v>
      </c>
      <c r="F5" s="51" t="s">
        <v>277</v>
      </c>
      <c r="G5" s="4" t="s">
        <v>324</v>
      </c>
      <c r="H5" s="4"/>
    </row>
    <row r="6" customFormat="false" ht="23.85" hidden="false" customHeight="false" outlineLevel="0" collapsed="false">
      <c r="A6" s="4" t="s">
        <v>325</v>
      </c>
      <c r="B6" s="4" t="s">
        <v>321</v>
      </c>
      <c r="C6" s="4" t="s">
        <v>55</v>
      </c>
      <c r="D6" s="4" t="s">
        <v>326</v>
      </c>
      <c r="E6" s="4" t="s">
        <v>323</v>
      </c>
      <c r="F6" s="51" t="s">
        <v>277</v>
      </c>
      <c r="G6" s="4" t="s">
        <v>324</v>
      </c>
      <c r="H6" s="4"/>
    </row>
    <row r="7" customFormat="false" ht="23.85" hidden="false" customHeight="false" outlineLevel="0" collapsed="false">
      <c r="A7" s="52" t="s">
        <v>327</v>
      </c>
      <c r="B7" s="52" t="s">
        <v>328</v>
      </c>
      <c r="C7" s="52" t="s">
        <v>185</v>
      </c>
      <c r="D7" s="52" t="s">
        <v>329</v>
      </c>
      <c r="E7" s="52" t="s">
        <v>185</v>
      </c>
      <c r="F7" s="53"/>
      <c r="G7" s="52" t="s">
        <v>330</v>
      </c>
      <c r="H7" s="52"/>
    </row>
    <row r="8" customFormat="false" ht="15" hidden="false" customHeight="false" outlineLevel="0" collapsed="false">
      <c r="A8" s="4" t="s">
        <v>331</v>
      </c>
      <c r="B8" s="4" t="s">
        <v>332</v>
      </c>
      <c r="C8" s="4" t="s">
        <v>43</v>
      </c>
      <c r="D8" s="4" t="s">
        <v>44</v>
      </c>
      <c r="E8" s="4" t="s">
        <v>333</v>
      </c>
      <c r="F8" s="51" t="s">
        <v>334</v>
      </c>
      <c r="G8" s="4" t="s">
        <v>324</v>
      </c>
      <c r="H8" s="4"/>
    </row>
    <row r="9" customFormat="false" ht="23.85" hidden="false" customHeight="false" outlineLevel="0" collapsed="false">
      <c r="A9" s="4" t="s">
        <v>48</v>
      </c>
      <c r="B9" s="4" t="s">
        <v>335</v>
      </c>
      <c r="C9" s="4" t="s">
        <v>43</v>
      </c>
      <c r="D9" s="4" t="s">
        <v>49</v>
      </c>
      <c r="E9" s="4" t="s">
        <v>336</v>
      </c>
      <c r="F9" s="51" t="s">
        <v>334</v>
      </c>
      <c r="G9" s="4" t="s">
        <v>324</v>
      </c>
      <c r="H9" s="4"/>
    </row>
    <row r="10" customFormat="false" ht="15" hidden="false" customHeight="false" outlineLevel="0" collapsed="false">
      <c r="A10" s="4" t="s">
        <v>337</v>
      </c>
      <c r="B10" s="4" t="s">
        <v>338</v>
      </c>
      <c r="C10" s="4" t="s">
        <v>55</v>
      </c>
      <c r="D10" s="4" t="s">
        <v>63</v>
      </c>
      <c r="E10" s="4" t="s">
        <v>339</v>
      </c>
      <c r="F10" s="51" t="s">
        <v>281</v>
      </c>
      <c r="G10" s="4" t="s">
        <v>324</v>
      </c>
      <c r="H10" s="4"/>
    </row>
    <row r="11" customFormat="false" ht="15" hidden="false" customHeight="false" outlineLevel="0" collapsed="false">
      <c r="A11" s="4" t="s">
        <v>340</v>
      </c>
      <c r="B11" s="4" t="s">
        <v>341</v>
      </c>
      <c r="C11" s="4" t="s">
        <v>36</v>
      </c>
      <c r="D11" s="4" t="s">
        <v>66</v>
      </c>
      <c r="E11" s="4" t="s">
        <v>342</v>
      </c>
      <c r="F11" s="51" t="s">
        <v>283</v>
      </c>
      <c r="G11" s="4" t="s">
        <v>324</v>
      </c>
      <c r="H11" s="4"/>
    </row>
    <row r="12" customFormat="false" ht="15" hidden="false" customHeight="false" outlineLevel="0" collapsed="false">
      <c r="A12" s="4" t="s">
        <v>343</v>
      </c>
      <c r="B12" s="4" t="s">
        <v>344</v>
      </c>
      <c r="C12" s="4" t="s">
        <v>43</v>
      </c>
      <c r="D12" s="4" t="s">
        <v>162</v>
      </c>
      <c r="E12" s="4" t="s">
        <v>345</v>
      </c>
      <c r="F12" s="51" t="s">
        <v>286</v>
      </c>
      <c r="G12" s="4" t="s">
        <v>324</v>
      </c>
      <c r="H12" s="4"/>
    </row>
    <row r="13" customFormat="false" ht="23.85" hidden="false" customHeight="false" outlineLevel="0" collapsed="false">
      <c r="A13" s="4" t="s">
        <v>163</v>
      </c>
      <c r="B13" s="4" t="s">
        <v>346</v>
      </c>
      <c r="C13" s="4" t="s">
        <v>43</v>
      </c>
      <c r="D13" s="4" t="s">
        <v>165</v>
      </c>
      <c r="E13" s="4" t="s">
        <v>347</v>
      </c>
      <c r="F13" s="51" t="s">
        <v>348</v>
      </c>
      <c r="G13" s="4" t="s">
        <v>324</v>
      </c>
      <c r="H13" s="4"/>
    </row>
    <row r="14" customFormat="false" ht="23.85" hidden="false" customHeight="false" outlineLevel="0" collapsed="false">
      <c r="A14" s="4" t="s">
        <v>349</v>
      </c>
      <c r="B14" s="4" t="s">
        <v>350</v>
      </c>
      <c r="C14" s="4" t="s">
        <v>43</v>
      </c>
      <c r="D14" s="4" t="s">
        <v>52</v>
      </c>
      <c r="E14" s="4" t="s">
        <v>351</v>
      </c>
      <c r="F14" s="51" t="s">
        <v>352</v>
      </c>
      <c r="G14" s="4" t="s">
        <v>324</v>
      </c>
      <c r="H14" s="4"/>
    </row>
    <row r="15" customFormat="false" ht="23.85" hidden="false" customHeight="false" outlineLevel="0" collapsed="false">
      <c r="A15" s="4" t="s">
        <v>353</v>
      </c>
      <c r="B15" s="4" t="s">
        <v>354</v>
      </c>
      <c r="C15" s="4" t="s">
        <v>36</v>
      </c>
      <c r="D15" s="4" t="s">
        <v>191</v>
      </c>
      <c r="E15" s="4" t="s">
        <v>355</v>
      </c>
      <c r="F15" s="51" t="s">
        <v>294</v>
      </c>
      <c r="G15" s="4" t="s">
        <v>324</v>
      </c>
      <c r="H15" s="4"/>
    </row>
    <row r="16" customFormat="false" ht="23.85" hidden="false" customHeight="false" outlineLevel="0" collapsed="false">
      <c r="A16" s="4" t="s">
        <v>356</v>
      </c>
      <c r="B16" s="4" t="s">
        <v>357</v>
      </c>
      <c r="C16" s="4" t="s">
        <v>55</v>
      </c>
      <c r="D16" s="4" t="s">
        <v>358</v>
      </c>
      <c r="E16" s="4" t="s">
        <v>359</v>
      </c>
      <c r="F16" s="51" t="s">
        <v>281</v>
      </c>
      <c r="G16" s="4" t="s">
        <v>324</v>
      </c>
      <c r="H16" s="4"/>
    </row>
    <row r="17" customFormat="false" ht="15" hidden="false" customHeight="false" outlineLevel="0" collapsed="false">
      <c r="A17" s="4" t="s">
        <v>360</v>
      </c>
      <c r="B17" s="4" t="s">
        <v>361</v>
      </c>
      <c r="C17" s="4" t="s">
        <v>55</v>
      </c>
      <c r="D17" s="4" t="s">
        <v>362</v>
      </c>
      <c r="E17" s="4" t="s">
        <v>363</v>
      </c>
      <c r="G17" s="4" t="s">
        <v>364</v>
      </c>
      <c r="H17" s="4" t="s">
        <v>365</v>
      </c>
    </row>
    <row r="18" customFormat="false" ht="15" hidden="false" customHeight="false" outlineLevel="0" collapsed="false">
      <c r="A18" s="4" t="s">
        <v>366</v>
      </c>
      <c r="B18" s="4" t="s">
        <v>367</v>
      </c>
      <c r="C18" s="4" t="s">
        <v>55</v>
      </c>
      <c r="D18" s="4" t="s">
        <v>188</v>
      </c>
      <c r="E18" s="4" t="s">
        <v>368</v>
      </c>
      <c r="F18" s="51" t="s">
        <v>297</v>
      </c>
      <c r="G18" s="4" t="s">
        <v>324</v>
      </c>
      <c r="H18" s="4"/>
    </row>
    <row r="19" customFormat="false" ht="15" hidden="false" customHeight="false" outlineLevel="0" collapsed="false">
      <c r="A19" s="52" t="s">
        <v>369</v>
      </c>
      <c r="B19" s="52" t="s">
        <v>370</v>
      </c>
      <c r="C19" s="52" t="s">
        <v>185</v>
      </c>
      <c r="D19" s="52" t="s">
        <v>186</v>
      </c>
      <c r="E19" s="52" t="s">
        <v>185</v>
      </c>
      <c r="F19" s="53"/>
      <c r="G19" s="52" t="s">
        <v>330</v>
      </c>
      <c r="H19" s="52"/>
    </row>
    <row r="20" customFormat="false" ht="15" hidden="false" customHeight="false" outlineLevel="0" collapsed="false">
      <c r="A20" s="4" t="s">
        <v>371</v>
      </c>
      <c r="B20" s="4" t="s">
        <v>372</v>
      </c>
      <c r="C20" s="4" t="s">
        <v>43</v>
      </c>
      <c r="D20" s="4" t="s">
        <v>193</v>
      </c>
      <c r="E20" s="4" t="s">
        <v>373</v>
      </c>
      <c r="F20" s="51" t="s">
        <v>299</v>
      </c>
      <c r="G20" s="4" t="s">
        <v>364</v>
      </c>
      <c r="H20" s="4"/>
    </row>
    <row r="21" customFormat="false" ht="23.85" hidden="false" customHeight="false" outlineLevel="0" collapsed="false">
      <c r="A21" s="4" t="s">
        <v>374</v>
      </c>
      <c r="B21" s="4" t="s">
        <v>375</v>
      </c>
      <c r="C21" s="4" t="s">
        <v>55</v>
      </c>
      <c r="D21" s="4" t="s">
        <v>376</v>
      </c>
      <c r="E21" s="4" t="s">
        <v>377</v>
      </c>
      <c r="F21" s="51" t="s">
        <v>302</v>
      </c>
      <c r="G21" s="4" t="s">
        <v>364</v>
      </c>
      <c r="H21" s="4"/>
    </row>
    <row r="22" customFormat="false" ht="23.85" hidden="false" customHeight="false" outlineLevel="0" collapsed="false">
      <c r="A22" s="4" t="s">
        <v>378</v>
      </c>
      <c r="B22" s="4" t="s">
        <v>379</v>
      </c>
      <c r="C22" s="4" t="s">
        <v>55</v>
      </c>
      <c r="D22" s="4" t="s">
        <v>196</v>
      </c>
      <c r="E22" s="4" t="s">
        <v>359</v>
      </c>
      <c r="F22" s="51" t="s">
        <v>281</v>
      </c>
      <c r="G22" s="4" t="s">
        <v>324</v>
      </c>
      <c r="H22" s="4"/>
    </row>
    <row r="23" customFormat="false" ht="23.85" hidden="false" customHeight="false" outlineLevel="0" collapsed="false">
      <c r="A23" s="4" t="s">
        <v>380</v>
      </c>
      <c r="B23" s="4" t="s">
        <v>381</v>
      </c>
      <c r="C23" s="4" t="s">
        <v>55</v>
      </c>
      <c r="D23" s="4" t="s">
        <v>199</v>
      </c>
      <c r="E23" s="4" t="s">
        <v>382</v>
      </c>
      <c r="F23" s="51" t="s">
        <v>307</v>
      </c>
      <c r="G23" s="4" t="s">
        <v>324</v>
      </c>
      <c r="H23" s="4"/>
    </row>
    <row r="24" customFormat="false" ht="15" hidden="false" customHeight="false" outlineLevel="0" collapsed="false">
      <c r="A24" s="4" t="s">
        <v>383</v>
      </c>
      <c r="B24" s="4" t="s">
        <v>384</v>
      </c>
      <c r="C24" s="4" t="s">
        <v>55</v>
      </c>
      <c r="D24" s="4" t="s">
        <v>63</v>
      </c>
      <c r="E24" s="4" t="s">
        <v>382</v>
      </c>
      <c r="F24" s="51" t="s">
        <v>307</v>
      </c>
      <c r="G24" s="4" t="s">
        <v>324</v>
      </c>
      <c r="H24" s="4"/>
    </row>
    <row r="25" customFormat="false" ht="23.85" hidden="false" customHeight="false" outlineLevel="0" collapsed="false">
      <c r="A25" s="4" t="s">
        <v>385</v>
      </c>
      <c r="B25" s="4" t="s">
        <v>386</v>
      </c>
      <c r="C25" s="4" t="s">
        <v>36</v>
      </c>
      <c r="D25" s="4" t="s">
        <v>203</v>
      </c>
      <c r="E25" s="4" t="s">
        <v>387</v>
      </c>
      <c r="F25" s="51" t="s">
        <v>309</v>
      </c>
      <c r="G25" s="4" t="s">
        <v>324</v>
      </c>
      <c r="H25" s="4"/>
    </row>
    <row r="26" customFormat="false" ht="23.85" hidden="false" customHeight="false" outlineLevel="0" collapsed="false">
      <c r="A26" s="4" t="s">
        <v>388</v>
      </c>
      <c r="B26" s="4" t="s">
        <v>389</v>
      </c>
      <c r="C26" s="4" t="s">
        <v>55</v>
      </c>
      <c r="D26" s="4" t="s">
        <v>206</v>
      </c>
      <c r="E26" s="4" t="s">
        <v>390</v>
      </c>
      <c r="F26" s="51" t="s">
        <v>312</v>
      </c>
      <c r="G26" s="4" t="s">
        <v>324</v>
      </c>
      <c r="H26" s="4"/>
    </row>
    <row r="27" customFormat="false" ht="15" hidden="false" customHeight="false" outlineLevel="0" collapsed="false">
      <c r="A27" s="4" t="s">
        <v>391</v>
      </c>
      <c r="B27" s="4" t="s">
        <v>392</v>
      </c>
      <c r="C27" s="4" t="s">
        <v>55</v>
      </c>
      <c r="D27" s="4" t="s">
        <v>210</v>
      </c>
      <c r="E27" s="4" t="s">
        <v>393</v>
      </c>
      <c r="F27" s="51" t="s">
        <v>315</v>
      </c>
      <c r="G27" s="4" t="s">
        <v>324</v>
      </c>
      <c r="H27" s="4"/>
    </row>
    <row r="29" customFormat="false" ht="15" hidden="false" customHeight="false" outlineLevel="0" collapsed="false">
      <c r="A29" s="2" t="s">
        <v>394</v>
      </c>
    </row>
    <row r="30" customFormat="false" ht="15" hidden="false" customHeight="false" outlineLevel="0" collapsed="false">
      <c r="A30" s="2" t="s">
        <v>395</v>
      </c>
    </row>
  </sheetData>
  <hyperlinks>
    <hyperlink ref="F5" r:id="rId1" display="https://drees.solidarites-sante.gouv.fr/publications-communique-de-presse/250828_ER_depenses-de-sante"/>
    <hyperlink ref="F6" r:id="rId2" display="https://drees.solidarites-sante.gouv.fr/publications-communique-de-presse/250828_ER_depenses-de-sante"/>
    <hyperlink ref="F8" r:id="rId3" display="https://www.ipp.eu/publication/comment-mettre-a-contribution-les-retraites-pour-le-redressement-des-finances-publiques/"/>
    <hyperlink ref="F9" r:id="rId4" display="https://www.ipp.eu/publication/comment-mettre-a-contribution-les-retraites-pour-le-redressement-des-finances-publiques/"/>
    <hyperlink ref="F10" r:id="rId5" display="https://www.securite-sociale.fr/files/live/sites/SSFR/files/medias/CCSS/2026/CCSS%20mai%202026_assembl%C3%A9_V2.pdf"/>
    <hyperlink ref="F11" r:id="rId6" display="https://questions.assemblee-nationale.fr/q17/17-161QE.htm"/>
    <hyperlink ref="F12" r:id="rId7" display="https://www.insee.fr/fr/statistiques/5431993"/>
    <hyperlink ref="F13" r:id="rId8" display="https://data.drees.solidarites-sante.gouv.fr/explore/dataset/cns_financement/information/"/>
    <hyperlink ref="F14" r:id="rId9" display="https://www.cor-retraites.fr/sites/default/files/2026-06/RA_2026_def.pdf"/>
    <hyperlink ref="F15" r:id="rId10" display="https://www.service-public.gouv.fr/particuliers/actualites/A17166"/>
    <hyperlink ref="F16" r:id="rId11" display="https://www.securite-sociale.fr/files/live/sites/SSFR/files/medias/CCSS/2026/CCSS%20mai%202026_assembl%C3%A9_V2.pdf"/>
    <hyperlink ref="F18" r:id="rId12" display="https://data.drees.solidarites-sante.gouv.fr/explore/dataset/depenses-de-sante-et-restes-a-charge/information/"/>
    <hyperlink ref="F20" r:id="rId13" display="https://www.publicsenat.fr/actualites/sante/consultations-medicales-la-ministre-de-la-sante-tempere-sur-la-hausse-du-ticket-moderateur"/>
    <hyperlink ref="F21" r:id="rId14" display="https://www.legifrance.gouv.fr/jorf/jo/2026/08/22/0195"/>
    <hyperlink ref="F22" r:id="rId15" display="https://www.securite-sociale.fr/files/live/sites/SSFR/files/medias/CCSS/2026/CCSS%20mai%202026_assembl%C3%A9_V2.pdf"/>
    <hyperlink ref="F23" r:id="rId16" display="https://www.apmnews.com/documents/202510231649030.rapport_consolide_depassements_dhonoraires_VF_compressed.pdf"/>
    <hyperlink ref="F24" r:id="rId17" display="https://www.apmnews.com/documents/202510231649030.rapport_consolide_depassements_dhonoraires_VF_compressed.pdf"/>
    <hyperlink ref="F25" r:id="rId18" display="https://www.legifrance.gouv.fr/codes/article_lc/LEGIARTI000042698839"/>
    <hyperlink ref="F26" r:id="rId19" display="https://www.assemblee-nationale.fr/dyn/contenu/visualisation/1088679/file/PLFSS2026-Annexe4-20251014-183718-59-11_avec%20couverture-2.pdf"/>
    <hyperlink ref="F27" r:id="rId20" display="https://drees.solidarites-sante.gouv.fr/communique-de-presse-jeux-de-donnees/jeux-de-donnees/250923_DATA_organismes-couvertures-compl%C3%A9mentaires-sant%C3%A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2026-10-07T16:47:31Z</dcterms:created>
  <dc:creator>openpyxl</dc:creator>
  <dc:description/>
  <dc:language>en-US</dc:language>
  <cp:lastModifiedBy/>
  <dcterms:modified xsi:type="dcterms:W3CDTF">2026-10-07T16:47:31Z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