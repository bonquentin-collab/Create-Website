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éforme" sheetId="2" state="visible" r:id="rId4"/>
    <sheet name="Calage" sheetId="3" state="visible" r:id="rId5"/>
    <sheet name="Tranches" sheetId="4" state="visible" r:id="rId6"/>
    <sheet name="Résultat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Calée par le site pour un coût de 5 Md€ (CAE)</t>
        </r>
      </text>
    </comment>
    <comment ref="B10" authorId="0">
      <text>
        <r>
          <rPr>
            <sz val="10"/>
            <rFont val="Arial"/>
            <family val="2"/>
          </rPr>
          <t xml:space="preserve">Calée pour 2,8 Md€ (CAE)</t>
        </r>
      </text>
    </comment>
    <comment ref="B11" authorId="0">
      <text>
        <r>
          <rPr>
            <sz val="10"/>
            <rFont val="Arial"/>
            <family val="2"/>
          </rPr>
          <t xml:space="preserve">Calée pour 1,4 Md€ (Dutreil 75 → 50 %, CAE)</t>
        </r>
      </text>
    </comment>
  </commentList>
</comments>
</file>

<file path=xl/sharedStrings.xml><?xml version="1.0" encoding="utf-8"?>
<sst xmlns="http://schemas.openxmlformats.org/spreadsheetml/2006/main" count="109" uniqueCount="109">
  <si>
    <t xml:space="preserve">Chiffrage du site « L'héritage, ça se décide »</t>
  </si>
  <si>
    <t xml:space="preserve">La grande transmission : https://bonquentin-collab.github.io/Create-Website/</t>
  </si>
  <si>
    <t xml:space="preserve">Contenu</t>
  </si>
  <si>
    <t xml:space="preserve">Réforme : réglages modifiables (cellules jaunes) : barème sur ce que chacun reçoit dans sa vie, abattement, traitement de chaque niche.</t>
  </si>
  <si>
    <t xml:space="preserve">Tranches : les 14 tranches d'héritiers du CAE (2021), la composition de leurs héritages et l'impôt avant et après réforme.</t>
  </si>
  <si>
    <t xml:space="preserve">Calage : nombre d'héritiers et ampleur des niches, choisis pour reproduire les recettes et les coûts publiés par le CAE.</t>
  </si>
  <si>
    <t xml:space="preserve">Résultats : recettes de 2025 à 2040, qui suivent le flux successoral, plus les plus-values latentes.</t>
  </si>
  <si>
    <t xml:space="preserve">Vérification</t>
  </si>
  <si>
    <t xml:space="preserve">Avec les réglages par défaut (IGS), les résultats sont identiques à ceux du site (contrôle en bas de la feuille Résultats).</t>
  </si>
  <si>
    <t xml:space="preserve">Limites</t>
  </si>
  <si>
    <t xml:space="preserve">Montants par tranche lus sur les graphiques du CAE ; profils des niches supposés ; aucun effet de comportement. Voir la page Méthode du site.</t>
  </si>
  <si>
    <t xml:space="preserve">Chaque chiffre saisi est revérifié à la source : voir la feuille « Vérification » (type, calcul, source, statut).</t>
  </si>
  <si>
    <t xml:space="preserve">Légende des couleurs</t>
  </si>
  <si>
    <t xml:space="preserve">Texte bleu sur fond jaune : hypothèse ou donnée d'entrée, à modifier</t>
  </si>
  <si>
    <t xml:space="preserve">Texte bleu sans fond : donnée sourcée (tableau de référence)</t>
  </si>
  <si>
    <t xml:space="preserve">Texte noir : formule</t>
  </si>
  <si>
    <t xml:space="preserve">Texte vert : formule qui reprend une valeur d'une autre feuille</t>
  </si>
  <si>
    <t xml:space="preserve">Fond vert pâle : résultat principal</t>
  </si>
  <si>
    <t xml:space="preserve">Réglages de la réforme (scénario IGS par défaut)</t>
  </si>
  <si>
    <t xml:space="preserve">Modifiez les cellules jaunes.</t>
  </si>
  <si>
    <t xml:space="preserve">Tranche du barème</t>
  </si>
  <si>
    <t xml:space="preserve">Jusqu'à (€)</t>
  </si>
  <si>
    <t xml:space="preserve">Taux</t>
  </si>
  <si>
    <t xml:space="preserve">Tranche 1</t>
  </si>
  <si>
    <t xml:space="preserve">Tranche 2</t>
  </si>
  <si>
    <t xml:space="preserve">Tranche 3</t>
  </si>
  <si>
    <t xml:space="preserve">Tranche 4</t>
  </si>
  <si>
    <t xml:space="preserve">Tranche 5</t>
  </si>
  <si>
    <t xml:space="preserve">Tranche 6</t>
  </si>
  <si>
    <t xml:space="preserve">Tranche 7</t>
  </si>
  <si>
    <t xml:space="preserve">La dernière tranche n'a pas de plafond (1e15).</t>
  </si>
  <si>
    <t xml:space="preserve">Abattement sur ce qui est reçu (€)</t>
  </si>
  <si>
    <t xml:space="preserve">Tout imposer, sans niche (1 = oui)</t>
  </si>
  <si>
    <t xml:space="preserve">Toutes les transmissions de la vie à leur valeur réelle ; plus-values pour tous.</t>
  </si>
  <si>
    <t xml:space="preserve">Assurance-vie au barème (1 = oui)</t>
  </si>
  <si>
    <t xml:space="preserve">Démembrement : usufruit taxé (1 = oui)</t>
  </si>
  <si>
    <t xml:space="preserve">Pacte Dutreil : part réintégrée</t>
  </si>
  <si>
    <t xml:space="preserve">1 = supprimé ; 1/3 = exonération ramenée de 75 à 50 % ; 0 = maintenu.</t>
  </si>
  <si>
    <t xml:space="preserve">Donations anciennes et biens non déclarés comptés (1 = oui)</t>
  </si>
  <si>
    <t xml:space="preserve">Plus-values latentes : multiplicateur de la série top 1 %</t>
  </si>
  <si>
    <t xml:space="preserve">0 = effacées ; 1 = top 1 % ; 2 = pour tous (hypothèse).</t>
  </si>
  <si>
    <t xml:space="preserve">Calage sur le CAE</t>
  </si>
  <si>
    <t xml:space="preserve">Valeurs calculées par le site ; les contrôles recalculent les cibles.</t>
  </si>
  <si>
    <t xml:space="preserve">Recettes actuelles du CAE (Md€)</t>
  </si>
  <si>
    <t xml:space="preserve">Nombre d'héritiers par an (formule)</t>
  </si>
  <si>
    <t xml:space="preserve">Base économique du modèle (Md€)</t>
  </si>
  <si>
    <t xml:space="preserve">Part déclarée quand aucun droit n'est payé</t>
  </si>
  <si>
    <t xml:space="preserve">Échelle du profil assurance-vie</t>
  </si>
  <si>
    <t xml:space="preserve">Échelle du profil démembrement</t>
  </si>
  <si>
    <t xml:space="preserve">Échelle du profil Dutreil</t>
  </si>
  <si>
    <t xml:space="preserve">Abattement du droit actuel (€)</t>
  </si>
  <si>
    <t xml:space="preserve">Héritiers par tranche et impôt</t>
  </si>
  <si>
    <t xml:space="preserve">Une ligne par tranche de ce qui est reçu sur la vie (CAE, 2021).</t>
  </si>
  <si>
    <t xml:space="preserve">Barème actuel</t>
  </si>
  <si>
    <t xml:space="preserve">Tranche</t>
  </si>
  <si>
    <t xml:space="preserve">Poids</t>
  </si>
  <si>
    <t xml:space="preserve">Net reçu (€)</t>
  </si>
  <si>
    <t xml:space="preserve">Brut économique (€)</t>
  </si>
  <si>
    <t xml:space="preserve">Taux payé (CAE)</t>
  </si>
  <si>
    <t xml:space="preserve">Impôt observé (€)</t>
  </si>
  <si>
    <t xml:space="preserve">Part déclarée</t>
  </si>
  <si>
    <t xml:space="preserve">Assurance-vie</t>
  </si>
  <si>
    <t xml:space="preserve">Démembrement</t>
  </si>
  <si>
    <t xml:space="preserve">Dutreil</t>
  </si>
  <si>
    <t xml:space="preserve">Autre</t>
  </si>
  <si>
    <t xml:space="preserve">Base droit actuel (€)</t>
  </si>
  <si>
    <t xml:space="preserve">Base réforme (€)</t>
  </si>
  <si>
    <t xml:space="preserve">Impôt actuel (€)</t>
  </si>
  <si>
    <t xml:space="preserve">Impôt réforme (€)</t>
  </si>
  <si>
    <t xml:space="preserve">P0-10</t>
  </si>
  <si>
    <t xml:space="preserve">P10-20</t>
  </si>
  <si>
    <t xml:space="preserve">P20-30</t>
  </si>
  <si>
    <t xml:space="preserve">P30-40</t>
  </si>
  <si>
    <t xml:space="preserve">P40-50</t>
  </si>
  <si>
    <t xml:space="preserve">P50-60</t>
  </si>
  <si>
    <t xml:space="preserve">P60-70</t>
  </si>
  <si>
    <t xml:space="preserve">P70-80</t>
  </si>
  <si>
    <t xml:space="preserve">P80-90</t>
  </si>
  <si>
    <t xml:space="preserve">P90-95</t>
  </si>
  <si>
    <t xml:space="preserve">P95-99</t>
  </si>
  <si>
    <t xml:space="preserve">P99-99,5</t>
  </si>
  <si>
    <t xml:space="preserve">P99,5-99,9</t>
  </si>
  <si>
    <t xml:space="preserve">P99,9-100</t>
  </si>
  <si>
    <t xml:space="preserve">Recettes de 2025 à 2040 (Md€ courants)</t>
  </si>
  <si>
    <t xml:space="preserve">Recettes actuelles du modèle, époque CAE (Md€)</t>
  </si>
  <si>
    <t xml:space="preserve">Recettes de la réforme, époque CAE (Md€)</t>
  </si>
  <si>
    <t xml:space="preserve">Année</t>
  </si>
  <si>
    <t xml:space="preserve">Flux (Md€)</t>
  </si>
  <si>
    <t xml:space="preserve">Droits actuels</t>
  </si>
  <si>
    <t xml:space="preserve">Supplément barème</t>
  </si>
  <si>
    <t xml:space="preserve">Plus-values</t>
  </si>
  <si>
    <t xml:space="preserve">Supplément total</t>
  </si>
  <si>
    <t xml:space="preserve">Plus-values top 1 % (FJJ)</t>
  </si>
  <si>
    <t xml:space="preserve">Total 2025-2040</t>
  </si>
  <si>
    <t xml:space="preserve">Contrôle : supplément 2025 du site (IGS)</t>
  </si>
  <si>
    <t xml:space="preserve">Écart classeur − site (doit être nul)</t>
  </si>
  <si>
    <t xml:space="preserve">Sources</t>
  </si>
  <si>
    <t xml:space="preserve">Donnée</t>
  </si>
  <si>
    <t xml:space="preserve">Source</t>
  </si>
  <si>
    <t xml:space="preserve">Lien</t>
  </si>
  <si>
    <t xml:space="preserve">Tranches d'héritiers, taux payés, recettes et coûts des niches</t>
  </si>
  <si>
    <t xml:space="preserve">CAE, « Repenser l'héritage », note n° 69 et Focus n° 77, 2021</t>
  </si>
  <si>
    <t xml:space="preserve">https://www.cae-eco.fr/repenser-lheritage</t>
  </si>
  <si>
    <t xml:space="preserve">Flux successoral 2025-2040, plus-values latentes du top 1 %, barème de l'IGS</t>
  </si>
  <si>
    <t xml:space="preserve">Fondation Jean-Jaurès, novembre 2024, tableaux 1, 6 et 8</t>
  </si>
  <si>
    <t xml:space="preserve">https://www.jean-jaures.org/publication/face-a-la-grande-transmission-limpot-sur-les-grandes-successions/</t>
  </si>
  <si>
    <t xml:space="preserve">Barème actuel en ligne directe</t>
  </si>
  <si>
    <t xml:space="preserve">Code général des impôts, art. 777 et 779</t>
  </si>
  <si>
    <t xml:space="preserve">https://www.legifrance.gouv.fr/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</si>
</sst>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€&quot;;\-#,##0&quot; €&quot;;\-"/>
    <numFmt numFmtId="166" formatCode="0.0%;\-0.0%;\-"/>
    <numFmt numFmtId="167" formatCode="0.000;\-0.000;\-"/>
    <numFmt numFmtId="168" formatCode="#,##0.0;\-#,##0.0;\-"/>
    <numFmt numFmtId="169" formatCode="#,##0;\-#,##0;\-"/>
    <numFmt numFmtId="170" formatCode="#,##0.00&quot; Md€&quot;;\-#,##0.00&quot; Md€&quot;;\-"/>
    <numFmt numFmtId="171" formatCode="0"/>
    <numFmt numFmtId="172" formatCode="#,##0.0&quot; Md€&quot;;\-#,##0.0&quot; Md€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E4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0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cae-eco.fr/repenser-lheritage" TargetMode="External"/><Relationship Id="rId2" Type="http://schemas.openxmlformats.org/officeDocument/2006/relationships/hyperlink" Target="https://www.jean-jaures.org/publication/face-a-la-grande-transmission-limpot-sur-les-grandes-successions/" TargetMode="External"/><Relationship Id="rId3" Type="http://schemas.openxmlformats.org/officeDocument/2006/relationships/hyperlink" Target="https://www.legifrance.gouv.f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4" t="s">
        <v>10</v>
      </c>
    </row>
    <row r="14" customFormat="false" ht="15" hidden="false" customHeight="false" outlineLevel="0" collapsed="false">
      <c r="A14" s="5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6" t="s">
        <v>13</v>
      </c>
    </row>
    <row r="18" customFormat="false" ht="15" hidden="false" customHeight="false" outlineLevel="0" collapsed="false">
      <c r="A18" s="7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8" t="s">
        <v>16</v>
      </c>
    </row>
    <row r="21" customFormat="false" ht="15" hidden="false" customHeight="false" outlineLevel="0" collapsed="false">
      <c r="A21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0" t="s">
        <v>20</v>
      </c>
      <c r="B4" s="10" t="s">
        <v>21</v>
      </c>
      <c r="C4" s="10" t="s">
        <v>22</v>
      </c>
    </row>
    <row r="5" customFormat="false" ht="15" hidden="false" customHeight="false" outlineLevel="0" collapsed="false">
      <c r="A5" s="5" t="s">
        <v>23</v>
      </c>
      <c r="B5" s="11" t="n">
        <v>200000</v>
      </c>
      <c r="C5" s="12" t="n">
        <v>0</v>
      </c>
    </row>
    <row r="6" customFormat="false" ht="15" hidden="false" customHeight="false" outlineLevel="0" collapsed="false">
      <c r="A6" s="5" t="s">
        <v>24</v>
      </c>
      <c r="B6" s="11" t="n">
        <v>800000</v>
      </c>
      <c r="C6" s="12" t="n">
        <v>0.05</v>
      </c>
    </row>
    <row r="7" customFormat="false" ht="15" hidden="false" customHeight="false" outlineLevel="0" collapsed="false">
      <c r="A7" s="5" t="s">
        <v>25</v>
      </c>
      <c r="B7" s="11" t="n">
        <v>1200000</v>
      </c>
      <c r="C7" s="12" t="n">
        <v>0.15</v>
      </c>
    </row>
    <row r="8" customFormat="false" ht="15" hidden="false" customHeight="false" outlineLevel="0" collapsed="false">
      <c r="A8" s="5" t="s">
        <v>26</v>
      </c>
      <c r="B8" s="11" t="n">
        <v>2000000</v>
      </c>
      <c r="C8" s="12" t="n">
        <v>0.25</v>
      </c>
    </row>
    <row r="9" customFormat="false" ht="15" hidden="false" customHeight="false" outlineLevel="0" collapsed="false">
      <c r="A9" s="5" t="s">
        <v>27</v>
      </c>
      <c r="B9" s="11" t="n">
        <v>4000000</v>
      </c>
      <c r="C9" s="12" t="n">
        <v>0.35</v>
      </c>
    </row>
    <row r="10" customFormat="false" ht="15" hidden="false" customHeight="false" outlineLevel="0" collapsed="false">
      <c r="A10" s="5" t="s">
        <v>28</v>
      </c>
      <c r="B10" s="11" t="n">
        <v>6000000</v>
      </c>
      <c r="C10" s="12" t="n">
        <v>0.45</v>
      </c>
    </row>
    <row r="11" customFormat="false" ht="15" hidden="false" customHeight="false" outlineLevel="0" collapsed="false">
      <c r="A11" s="5" t="s">
        <v>29</v>
      </c>
      <c r="B11" s="11" t="n">
        <v>1000000000000000</v>
      </c>
      <c r="C11" s="12" t="n">
        <v>0.5</v>
      </c>
      <c r="D11" s="5" t="s">
        <v>30</v>
      </c>
    </row>
    <row r="13" customFormat="false" ht="15" hidden="false" customHeight="false" outlineLevel="0" collapsed="false">
      <c r="A13" s="5" t="s">
        <v>31</v>
      </c>
      <c r="B13" s="11" t="n">
        <v>0</v>
      </c>
    </row>
    <row r="15" customFormat="false" ht="15" hidden="false" customHeight="false" outlineLevel="0" collapsed="false">
      <c r="A15" s="5" t="s">
        <v>32</v>
      </c>
      <c r="B15" s="13" t="n">
        <v>0</v>
      </c>
      <c r="D15" s="5" t="s">
        <v>33</v>
      </c>
    </row>
    <row r="16" customFormat="false" ht="15" hidden="false" customHeight="false" outlineLevel="0" collapsed="false">
      <c r="A16" s="5" t="s">
        <v>34</v>
      </c>
      <c r="B16" s="13" t="n">
        <v>1</v>
      </c>
      <c r="D16" s="5"/>
    </row>
    <row r="17" customFormat="false" ht="15" hidden="false" customHeight="false" outlineLevel="0" collapsed="false">
      <c r="A17" s="5" t="s">
        <v>35</v>
      </c>
      <c r="B17" s="13" t="n">
        <v>1</v>
      </c>
      <c r="D17" s="5"/>
    </row>
    <row r="18" customFormat="false" ht="15" hidden="false" customHeight="false" outlineLevel="0" collapsed="false">
      <c r="A18" s="5" t="s">
        <v>36</v>
      </c>
      <c r="B18" s="13" t="n">
        <v>0.333333333333333</v>
      </c>
      <c r="D18" s="5" t="s">
        <v>37</v>
      </c>
    </row>
    <row r="19" customFormat="false" ht="15" hidden="false" customHeight="false" outlineLevel="0" collapsed="false">
      <c r="A19" s="5" t="s">
        <v>38</v>
      </c>
      <c r="B19" s="13" t="n">
        <v>1</v>
      </c>
      <c r="D19" s="5"/>
    </row>
    <row r="20" customFormat="false" ht="15" hidden="false" customHeight="false" outlineLevel="0" collapsed="false">
      <c r="A20" s="5" t="s">
        <v>39</v>
      </c>
      <c r="B20" s="13" t="n">
        <v>1</v>
      </c>
      <c r="D20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5" t="s">
        <v>43</v>
      </c>
      <c r="B4" s="14" t="n">
        <v>15</v>
      </c>
    </row>
    <row r="5" customFormat="false" ht="15" hidden="false" customHeight="false" outlineLevel="0" collapsed="false">
      <c r="A5" s="5" t="s">
        <v>44</v>
      </c>
      <c r="B5" s="15" t="n">
        <f aca="false">B4*1000000000/SUMPRODUCT(Tranches!$B$6:$B$19,Tranches!$F$6:$F$19)</f>
        <v>1747934.53410435</v>
      </c>
    </row>
    <row r="6" customFormat="false" ht="15" hidden="false" customHeight="false" outlineLevel="0" collapsed="false">
      <c r="A6" s="5" t="s">
        <v>45</v>
      </c>
      <c r="B6" s="16" t="n">
        <f aca="false">B5*SUMPRODUCT(Tranches!$B$6:$B$19,Tranches!$D$6:$D$19)/1000000000</f>
        <v>341.688964424103</v>
      </c>
    </row>
    <row r="7" customFormat="false" ht="15" hidden="false" customHeight="false" outlineLevel="0" collapsed="false">
      <c r="A7" s="5" t="s">
        <v>46</v>
      </c>
      <c r="B7" s="12" t="n">
        <v>0.6</v>
      </c>
    </row>
    <row r="9" customFormat="false" ht="15" hidden="false" customHeight="false" outlineLevel="0" collapsed="false">
      <c r="A9" s="5" t="s">
        <v>47</v>
      </c>
      <c r="B9" s="13" t="n">
        <v>0.5472653720394</v>
      </c>
    </row>
    <row r="10" customFormat="false" ht="15" hidden="false" customHeight="false" outlineLevel="0" collapsed="false">
      <c r="A10" s="5" t="s">
        <v>48</v>
      </c>
      <c r="B10" s="13" t="n">
        <v>0.70145161245459</v>
      </c>
    </row>
    <row r="11" customFormat="false" ht="15" hidden="false" customHeight="false" outlineLevel="0" collapsed="false">
      <c r="A11" s="5" t="s">
        <v>49</v>
      </c>
      <c r="B11" s="13" t="n">
        <v>0.787510407002557</v>
      </c>
    </row>
    <row r="12" customFormat="false" ht="15" hidden="false" customHeight="false" outlineLevel="0" collapsed="false">
      <c r="A12" s="5" t="s">
        <v>50</v>
      </c>
      <c r="B12" s="11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11" min="7" style="0" width="9"/>
    <col collapsed="false" customWidth="true" hidden="false" outlineLevel="0" max="13" min="12" style="0" width="14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Q4" s="5" t="s">
        <v>53</v>
      </c>
    </row>
    <row r="5" customFormat="false" ht="23.85" hidden="false" customHeight="false" outlineLevel="0" collapsed="false">
      <c r="A5" s="10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0" t="s">
        <v>66</v>
      </c>
      <c r="N5" s="10" t="s">
        <v>67</v>
      </c>
      <c r="O5" s="10" t="s">
        <v>68</v>
      </c>
      <c r="R5" s="17" t="n">
        <v>8072</v>
      </c>
      <c r="S5" s="18" t="n">
        <v>0.05</v>
      </c>
    </row>
    <row r="6" customFormat="false" ht="15" hidden="false" customHeight="false" outlineLevel="0" collapsed="false">
      <c r="A6" s="5" t="s">
        <v>69</v>
      </c>
      <c r="B6" s="18" t="n">
        <v>0.1</v>
      </c>
      <c r="C6" s="17" t="n">
        <v>0</v>
      </c>
      <c r="D6" s="19" t="n">
        <f aca="false">C6/(1-E6)</f>
        <v>0</v>
      </c>
      <c r="E6" s="18" t="n">
        <v>0</v>
      </c>
      <c r="F6" s="19" t="n">
        <f aca="false">D6*E6</f>
        <v>0</v>
      </c>
      <c r="G6" s="20" t="n">
        <f aca="false">Calage!$B$7</f>
        <v>0.6</v>
      </c>
      <c r="H6" s="20" t="n">
        <f aca="false">0.1*Calage!$B$9</f>
        <v>0.05472653720394</v>
      </c>
      <c r="I6" s="20" t="n">
        <f aca="false">0*Calage!$B$10</f>
        <v>0</v>
      </c>
      <c r="J6" s="20" t="n">
        <f aca="false">0*Calage!$B$11</f>
        <v>0</v>
      </c>
      <c r="K6" s="20" t="n">
        <f aca="false">1-G6-H6-I6-J6</f>
        <v>0.34527346279606</v>
      </c>
      <c r="L6" s="19" t="n">
        <f aca="false">D6*G6</f>
        <v>0</v>
      </c>
      <c r="M6" s="19" t="n">
        <f aca="false">IF(Réforme!$B$15=1,D6,D6*(G6+H6*Réforme!$B$16+I6*Réforme!$B$17+J6*Réforme!$B$18+K6*Réforme!$B$19))</f>
        <v>0</v>
      </c>
      <c r="N6" s="19" t="n">
        <f aca="false">MAX(0,MIN(MAX(0,L6-Calage!$B$12),$R$5)-0)*$S$5+MAX(0,MIN(MAX(0,L6-Calage!$B$12),$R$6)-$R$5)*$S$6+MAX(0,MIN(MAX(0,L6-Calage!$B$12),$R$7)-$R$6)*$S$7+MAX(0,MIN(MAX(0,L6-Calage!$B$12),$R$8)-$R$7)*$S$8+MAX(0,MIN(MAX(0,L6-Calage!$B$12),$R$9)-$R$8)*$S$9+MAX(0,MIN(MAX(0,L6-Calage!$B$12),$R$10)-$R$9)*$S$10+MAX(0,MIN(MAX(0,L6-Calage!$B$12),$R$11)-$R$10)*$S$11</f>
        <v>0</v>
      </c>
      <c r="O6" s="19" t="n">
        <f aca="false">MAX(0,MIN(MAX(0,M6-Réforme!$B$13),Réforme!$B$5)-0)*Réforme!$C$5+MAX(0,MIN(MAX(0,M6-Réforme!$B$13),Réforme!$B$6)-Réforme!$B$5)*Réforme!$C$6+MAX(0,MIN(MAX(0,M6-Réforme!$B$13),Réforme!$B$7)-Réforme!$B$6)*Réforme!$C$7+MAX(0,MIN(MAX(0,M6-Réforme!$B$13),Réforme!$B$8)-Réforme!$B$7)*Réforme!$C$8+MAX(0,MIN(MAX(0,M6-Réforme!$B$13),Réforme!$B$9)-Réforme!$B$8)*Réforme!$C$9+MAX(0,MIN(MAX(0,M6-Réforme!$B$13),Réforme!$B$10)-Réforme!$B$9)*Réforme!$C$10+MAX(0,MIN(MAX(0,M6-Réforme!$B$13),Réforme!$B$11)-Réforme!$B$10)*Réforme!$C$11</f>
        <v>0</v>
      </c>
      <c r="R6" s="17" t="n">
        <v>12109</v>
      </c>
      <c r="S6" s="18" t="n">
        <v>0.1</v>
      </c>
    </row>
    <row r="7" customFormat="false" ht="15" hidden="false" customHeight="false" outlineLevel="0" collapsed="false">
      <c r="A7" s="5" t="s">
        <v>70</v>
      </c>
      <c r="B7" s="18" t="n">
        <v>0.1</v>
      </c>
      <c r="C7" s="17" t="n">
        <v>15000</v>
      </c>
      <c r="D7" s="19" t="n">
        <f aca="false">C7/(1-E7)</f>
        <v>15000</v>
      </c>
      <c r="E7" s="18" t="n">
        <v>0</v>
      </c>
      <c r="F7" s="19" t="n">
        <f aca="false">D7*E7</f>
        <v>0</v>
      </c>
      <c r="G7" s="20" t="n">
        <f aca="false">Calage!$B$7</f>
        <v>0.6</v>
      </c>
      <c r="H7" s="20" t="n">
        <f aca="false">0.1*Calage!$B$9</f>
        <v>0.05472653720394</v>
      </c>
      <c r="I7" s="20" t="n">
        <f aca="false">0*Calage!$B$10</f>
        <v>0</v>
      </c>
      <c r="J7" s="20" t="n">
        <f aca="false">0*Calage!$B$11</f>
        <v>0</v>
      </c>
      <c r="K7" s="20" t="n">
        <f aca="false">1-G7-H7-I7-J7</f>
        <v>0.34527346279606</v>
      </c>
      <c r="L7" s="19" t="n">
        <f aca="false">D7*G7</f>
        <v>9000</v>
      </c>
      <c r="M7" s="19" t="n">
        <f aca="false">IF(Réforme!$B$15=1,D7,D7*(G7+H7*Réforme!$B$16+I7*Réforme!$B$17+J7*Réforme!$B$18+K7*Réforme!$B$19))</f>
        <v>15000</v>
      </c>
      <c r="N7" s="19" t="n">
        <f aca="false">MAX(0,MIN(MAX(0,L7-Calage!$B$12),$R$5)-0)*$S$5+MAX(0,MIN(MAX(0,L7-Calage!$B$12),$R$6)-$R$5)*$S$6+MAX(0,MIN(MAX(0,L7-Calage!$B$12),$R$7)-$R$6)*$S$7+MAX(0,MIN(MAX(0,L7-Calage!$B$12),$R$8)-$R$7)*$S$8+MAX(0,MIN(MAX(0,L7-Calage!$B$12),$R$9)-$R$8)*$S$9+MAX(0,MIN(MAX(0,L7-Calage!$B$12),$R$10)-$R$9)*$S$10+MAX(0,MIN(MAX(0,L7-Calage!$B$12),$R$11)-$R$10)*$S$11</f>
        <v>0</v>
      </c>
      <c r="O7" s="19" t="n">
        <f aca="false">MAX(0,MIN(MAX(0,M7-Réforme!$B$13),Réforme!$B$5)-0)*Réforme!$C$5+MAX(0,MIN(MAX(0,M7-Réforme!$B$13),Réforme!$B$6)-Réforme!$B$5)*Réforme!$C$6+MAX(0,MIN(MAX(0,M7-Réforme!$B$13),Réforme!$B$7)-Réforme!$B$6)*Réforme!$C$7+MAX(0,MIN(MAX(0,M7-Réforme!$B$13),Réforme!$B$8)-Réforme!$B$7)*Réforme!$C$8+MAX(0,MIN(MAX(0,M7-Réforme!$B$13),Réforme!$B$9)-Réforme!$B$8)*Réforme!$C$9+MAX(0,MIN(MAX(0,M7-Réforme!$B$13),Réforme!$B$10)-Réforme!$B$9)*Réforme!$C$10+MAX(0,MIN(MAX(0,M7-Réforme!$B$13),Réforme!$B$11)-Réforme!$B$10)*Réforme!$C$11</f>
        <v>0</v>
      </c>
      <c r="R7" s="17" t="n">
        <v>15932</v>
      </c>
      <c r="S7" s="18" t="n">
        <v>0.15</v>
      </c>
    </row>
    <row r="8" customFormat="false" ht="15" hidden="false" customHeight="false" outlineLevel="0" collapsed="false">
      <c r="A8" s="5" t="s">
        <v>71</v>
      </c>
      <c r="B8" s="18" t="n">
        <v>0.1</v>
      </c>
      <c r="C8" s="17" t="n">
        <v>45000</v>
      </c>
      <c r="D8" s="19" t="n">
        <f aca="false">C8/(1-E8)</f>
        <v>45000</v>
      </c>
      <c r="E8" s="18" t="n">
        <v>0</v>
      </c>
      <c r="F8" s="19" t="n">
        <f aca="false">D8*E8</f>
        <v>0</v>
      </c>
      <c r="G8" s="20" t="n">
        <f aca="false">Calage!$B$7</f>
        <v>0.6</v>
      </c>
      <c r="H8" s="20" t="n">
        <f aca="false">0.1*Calage!$B$9</f>
        <v>0.05472653720394</v>
      </c>
      <c r="I8" s="20" t="n">
        <f aca="false">0*Calage!$B$10</f>
        <v>0</v>
      </c>
      <c r="J8" s="20" t="n">
        <f aca="false">0*Calage!$B$11</f>
        <v>0</v>
      </c>
      <c r="K8" s="20" t="n">
        <f aca="false">1-G8-H8-I8-J8</f>
        <v>0.34527346279606</v>
      </c>
      <c r="L8" s="19" t="n">
        <f aca="false">D8*G8</f>
        <v>27000</v>
      </c>
      <c r="M8" s="19" t="n">
        <f aca="false">IF(Réforme!$B$15=1,D8,D8*(G8+H8*Réforme!$B$16+I8*Réforme!$B$17+J8*Réforme!$B$18+K8*Réforme!$B$19))</f>
        <v>45000</v>
      </c>
      <c r="N8" s="19" t="n">
        <f aca="false">MAX(0,MIN(MAX(0,L8-Calage!$B$12),$R$5)-0)*$S$5+MAX(0,MIN(MAX(0,L8-Calage!$B$12),$R$6)-$R$5)*$S$6+MAX(0,MIN(MAX(0,L8-Calage!$B$12),$R$7)-$R$6)*$S$7+MAX(0,MIN(MAX(0,L8-Calage!$B$12),$R$8)-$R$7)*$S$8+MAX(0,MIN(MAX(0,L8-Calage!$B$12),$R$9)-$R$8)*$S$9+MAX(0,MIN(MAX(0,L8-Calage!$B$12),$R$10)-$R$9)*$S$10+MAX(0,MIN(MAX(0,L8-Calage!$B$12),$R$11)-$R$10)*$S$11</f>
        <v>0</v>
      </c>
      <c r="O8" s="19" t="n">
        <f aca="false">MAX(0,MIN(MAX(0,M8-Réforme!$B$13),Réforme!$B$5)-0)*Réforme!$C$5+MAX(0,MIN(MAX(0,M8-Réforme!$B$13),Réforme!$B$6)-Réforme!$B$5)*Réforme!$C$6+MAX(0,MIN(MAX(0,M8-Réforme!$B$13),Réforme!$B$7)-Réforme!$B$6)*Réforme!$C$7+MAX(0,MIN(MAX(0,M8-Réforme!$B$13),Réforme!$B$8)-Réforme!$B$7)*Réforme!$C$8+MAX(0,MIN(MAX(0,M8-Réforme!$B$13),Réforme!$B$9)-Réforme!$B$8)*Réforme!$C$9+MAX(0,MIN(MAX(0,M8-Réforme!$B$13),Réforme!$B$10)-Réforme!$B$9)*Réforme!$C$10+MAX(0,MIN(MAX(0,M8-Réforme!$B$13),Réforme!$B$11)-Réforme!$B$10)*Réforme!$C$11</f>
        <v>0</v>
      </c>
      <c r="R8" s="17" t="n">
        <v>552324</v>
      </c>
      <c r="S8" s="18" t="n">
        <v>0.2</v>
      </c>
    </row>
    <row r="9" customFormat="false" ht="15" hidden="false" customHeight="false" outlineLevel="0" collapsed="false">
      <c r="A9" s="5" t="s">
        <v>72</v>
      </c>
      <c r="B9" s="18" t="n">
        <v>0.1</v>
      </c>
      <c r="C9" s="17" t="n">
        <v>65000</v>
      </c>
      <c r="D9" s="19" t="n">
        <f aca="false">C9/(1-E9)</f>
        <v>65000</v>
      </c>
      <c r="E9" s="18" t="n">
        <v>0</v>
      </c>
      <c r="F9" s="19" t="n">
        <f aca="false">D9*E9</f>
        <v>0</v>
      </c>
      <c r="G9" s="20" t="n">
        <f aca="false">Calage!$B$7</f>
        <v>0.6</v>
      </c>
      <c r="H9" s="20" t="n">
        <f aca="false">0.1*Calage!$B$9</f>
        <v>0.05472653720394</v>
      </c>
      <c r="I9" s="20" t="n">
        <f aca="false">0*Calage!$B$10</f>
        <v>0</v>
      </c>
      <c r="J9" s="20" t="n">
        <f aca="false">0*Calage!$B$11</f>
        <v>0</v>
      </c>
      <c r="K9" s="20" t="n">
        <f aca="false">1-G9-H9-I9-J9</f>
        <v>0.34527346279606</v>
      </c>
      <c r="L9" s="19" t="n">
        <f aca="false">D9*G9</f>
        <v>39000</v>
      </c>
      <c r="M9" s="19" t="n">
        <f aca="false">IF(Réforme!$B$15=1,D9,D9*(G9+H9*Réforme!$B$16+I9*Réforme!$B$17+J9*Réforme!$B$18+K9*Réforme!$B$19))</f>
        <v>65000</v>
      </c>
      <c r="N9" s="19" t="n">
        <f aca="false">MAX(0,MIN(MAX(0,L9-Calage!$B$12),$R$5)-0)*$S$5+MAX(0,MIN(MAX(0,L9-Calage!$B$12),$R$6)-$R$5)*$S$6+MAX(0,MIN(MAX(0,L9-Calage!$B$12),$R$7)-$R$6)*$S$7+MAX(0,MIN(MAX(0,L9-Calage!$B$12),$R$8)-$R$7)*$S$8+MAX(0,MIN(MAX(0,L9-Calage!$B$12),$R$9)-$R$8)*$S$9+MAX(0,MIN(MAX(0,L9-Calage!$B$12),$R$10)-$R$9)*$S$10+MAX(0,MIN(MAX(0,L9-Calage!$B$12),$R$11)-$R$10)*$S$11</f>
        <v>0</v>
      </c>
      <c r="O9" s="19" t="n">
        <f aca="false">MAX(0,MIN(MAX(0,M9-Réforme!$B$13),Réforme!$B$5)-0)*Réforme!$C$5+MAX(0,MIN(MAX(0,M9-Réforme!$B$13),Réforme!$B$6)-Réforme!$B$5)*Réforme!$C$6+MAX(0,MIN(MAX(0,M9-Réforme!$B$13),Réforme!$B$7)-Réforme!$B$6)*Réforme!$C$7+MAX(0,MIN(MAX(0,M9-Réforme!$B$13),Réforme!$B$8)-Réforme!$B$7)*Réforme!$C$8+MAX(0,MIN(MAX(0,M9-Réforme!$B$13),Réforme!$B$9)-Réforme!$B$8)*Réforme!$C$9+MAX(0,MIN(MAX(0,M9-Réforme!$B$13),Réforme!$B$10)-Réforme!$B$9)*Réforme!$C$10+MAX(0,MIN(MAX(0,M9-Réforme!$B$13),Réforme!$B$11)-Réforme!$B$10)*Réforme!$C$11</f>
        <v>0</v>
      </c>
      <c r="R9" s="17" t="n">
        <v>902838</v>
      </c>
      <c r="S9" s="18" t="n">
        <v>0.3</v>
      </c>
    </row>
    <row r="10" customFormat="false" ht="15" hidden="false" customHeight="false" outlineLevel="0" collapsed="false">
      <c r="A10" s="5" t="s">
        <v>73</v>
      </c>
      <c r="B10" s="18" t="n">
        <v>0.1</v>
      </c>
      <c r="C10" s="17" t="n">
        <v>65000</v>
      </c>
      <c r="D10" s="19" t="n">
        <f aca="false">C10/(1-E10)</f>
        <v>65000</v>
      </c>
      <c r="E10" s="18" t="n">
        <v>0</v>
      </c>
      <c r="F10" s="19" t="n">
        <f aca="false">D10*E10</f>
        <v>0</v>
      </c>
      <c r="G10" s="20" t="n">
        <f aca="false">Calage!$B$7</f>
        <v>0.6</v>
      </c>
      <c r="H10" s="20" t="n">
        <f aca="false">0.1*Calage!$B$9</f>
        <v>0.05472653720394</v>
      </c>
      <c r="I10" s="20" t="n">
        <f aca="false">0*Calage!$B$10</f>
        <v>0</v>
      </c>
      <c r="J10" s="20" t="n">
        <f aca="false">0*Calage!$B$11</f>
        <v>0</v>
      </c>
      <c r="K10" s="20" t="n">
        <f aca="false">1-G10-H10-I10-J10</f>
        <v>0.34527346279606</v>
      </c>
      <c r="L10" s="19" t="n">
        <f aca="false">D10*G10</f>
        <v>39000</v>
      </c>
      <c r="M10" s="19" t="n">
        <f aca="false">IF(Réforme!$B$15=1,D10,D10*(G10+H10*Réforme!$B$16+I10*Réforme!$B$17+J10*Réforme!$B$18+K10*Réforme!$B$19))</f>
        <v>65000</v>
      </c>
      <c r="N10" s="19" t="n">
        <f aca="false">MAX(0,MIN(MAX(0,L10-Calage!$B$12),$R$5)-0)*$S$5+MAX(0,MIN(MAX(0,L10-Calage!$B$12),$R$6)-$R$5)*$S$6+MAX(0,MIN(MAX(0,L10-Calage!$B$12),$R$7)-$R$6)*$S$7+MAX(0,MIN(MAX(0,L10-Calage!$B$12),$R$8)-$R$7)*$S$8+MAX(0,MIN(MAX(0,L10-Calage!$B$12),$R$9)-$R$8)*$S$9+MAX(0,MIN(MAX(0,L10-Calage!$B$12),$R$10)-$R$9)*$S$10+MAX(0,MIN(MAX(0,L10-Calage!$B$12),$R$11)-$R$10)*$S$11</f>
        <v>0</v>
      </c>
      <c r="O10" s="19" t="n">
        <f aca="false">MAX(0,MIN(MAX(0,M10-Réforme!$B$13),Réforme!$B$5)-0)*Réforme!$C$5+MAX(0,MIN(MAX(0,M10-Réforme!$B$13),Réforme!$B$6)-Réforme!$B$5)*Réforme!$C$6+MAX(0,MIN(MAX(0,M10-Réforme!$B$13),Réforme!$B$7)-Réforme!$B$6)*Réforme!$C$7+MAX(0,MIN(MAX(0,M10-Réforme!$B$13),Réforme!$B$8)-Réforme!$B$7)*Réforme!$C$8+MAX(0,MIN(MAX(0,M10-Réforme!$B$13),Réforme!$B$9)-Réforme!$B$8)*Réforme!$C$9+MAX(0,MIN(MAX(0,M10-Réforme!$B$13),Réforme!$B$10)-Réforme!$B$9)*Réforme!$C$10+MAX(0,MIN(MAX(0,M10-Réforme!$B$13),Réforme!$B$11)-Réforme!$B$10)*Réforme!$C$11</f>
        <v>0</v>
      </c>
      <c r="R10" s="17" t="n">
        <v>1805677</v>
      </c>
      <c r="S10" s="18" t="n">
        <v>0.4</v>
      </c>
    </row>
    <row r="11" customFormat="false" ht="15" hidden="false" customHeight="false" outlineLevel="0" collapsed="false">
      <c r="A11" s="5" t="s">
        <v>74</v>
      </c>
      <c r="B11" s="18" t="n">
        <v>0.1</v>
      </c>
      <c r="C11" s="17" t="n">
        <v>70000</v>
      </c>
      <c r="D11" s="19" t="n">
        <f aca="false">C11/(1-E11)</f>
        <v>70000</v>
      </c>
      <c r="E11" s="18" t="n">
        <v>0</v>
      </c>
      <c r="F11" s="19" t="n">
        <f aca="false">D11*E11</f>
        <v>0</v>
      </c>
      <c r="G11" s="20" t="n">
        <f aca="false">Calage!$B$7</f>
        <v>0.6</v>
      </c>
      <c r="H11" s="20" t="n">
        <f aca="false">0.15*Calage!$B$9</f>
        <v>0.08208980580591</v>
      </c>
      <c r="I11" s="20" t="n">
        <f aca="false">0*Calage!$B$10</f>
        <v>0</v>
      </c>
      <c r="J11" s="20" t="n">
        <f aca="false">0*Calage!$B$11</f>
        <v>0</v>
      </c>
      <c r="K11" s="20" t="n">
        <f aca="false">1-G11-H11-I11-J11</f>
        <v>0.31791019419409</v>
      </c>
      <c r="L11" s="19" t="n">
        <f aca="false">D11*G11</f>
        <v>42000</v>
      </c>
      <c r="M11" s="19" t="n">
        <f aca="false">IF(Réforme!$B$15=1,D11,D11*(G11+H11*Réforme!$B$16+I11*Réforme!$B$17+J11*Réforme!$B$18+K11*Réforme!$B$19))</f>
        <v>70000</v>
      </c>
      <c r="N11" s="19" t="n">
        <f aca="false">MAX(0,MIN(MAX(0,L11-Calage!$B$12),$R$5)-0)*$S$5+MAX(0,MIN(MAX(0,L11-Calage!$B$12),$R$6)-$R$5)*$S$6+MAX(0,MIN(MAX(0,L11-Calage!$B$12),$R$7)-$R$6)*$S$7+MAX(0,MIN(MAX(0,L11-Calage!$B$12),$R$8)-$R$7)*$S$8+MAX(0,MIN(MAX(0,L11-Calage!$B$12),$R$9)-$R$8)*$S$9+MAX(0,MIN(MAX(0,L11-Calage!$B$12),$R$10)-$R$9)*$S$10+MAX(0,MIN(MAX(0,L11-Calage!$B$12),$R$11)-$R$10)*$S$11</f>
        <v>0</v>
      </c>
      <c r="O11" s="19" t="n">
        <f aca="false">MAX(0,MIN(MAX(0,M11-Réforme!$B$13),Réforme!$B$5)-0)*Réforme!$C$5+MAX(0,MIN(MAX(0,M11-Réforme!$B$13),Réforme!$B$6)-Réforme!$B$5)*Réforme!$C$6+MAX(0,MIN(MAX(0,M11-Réforme!$B$13),Réforme!$B$7)-Réforme!$B$6)*Réforme!$C$7+MAX(0,MIN(MAX(0,M11-Réforme!$B$13),Réforme!$B$8)-Réforme!$B$7)*Réforme!$C$8+MAX(0,MIN(MAX(0,M11-Réforme!$B$13),Réforme!$B$9)-Réforme!$B$8)*Réforme!$C$9+MAX(0,MIN(MAX(0,M11-Réforme!$B$13),Réforme!$B$10)-Réforme!$B$9)*Réforme!$C$10+MAX(0,MIN(MAX(0,M11-Réforme!$B$13),Réforme!$B$11)-Réforme!$B$10)*Réforme!$C$11</f>
        <v>0</v>
      </c>
      <c r="R11" s="17" t="n">
        <v>1000000000000000</v>
      </c>
      <c r="S11" s="18" t="n">
        <v>0.45</v>
      </c>
    </row>
    <row r="12" customFormat="false" ht="15" hidden="false" customHeight="false" outlineLevel="0" collapsed="false">
      <c r="A12" s="5" t="s">
        <v>75</v>
      </c>
      <c r="B12" s="18" t="n">
        <v>0.1</v>
      </c>
      <c r="C12" s="17" t="n">
        <v>80000</v>
      </c>
      <c r="D12" s="19" t="n">
        <f aca="false">C12/(1-E12)</f>
        <v>80808.0808080808</v>
      </c>
      <c r="E12" s="18" t="n">
        <v>0.01</v>
      </c>
      <c r="F12" s="19" t="n">
        <f aca="false">D12*E12</f>
        <v>808.080808080808</v>
      </c>
      <c r="G12" s="20" t="n">
        <f aca="false">0.01/0.016</f>
        <v>0.625</v>
      </c>
      <c r="H12" s="20" t="n">
        <f aca="false">0.15*Calage!$B$9</f>
        <v>0.08208980580591</v>
      </c>
      <c r="I12" s="20" t="n">
        <f aca="false">0*Calage!$B$10</f>
        <v>0</v>
      </c>
      <c r="J12" s="20" t="n">
        <f aca="false">0.005*Calage!$B$11</f>
        <v>0.00393755203501279</v>
      </c>
      <c r="K12" s="20" t="n">
        <f aca="false">1-G12-H12-I12-J12</f>
        <v>0.288972642159077</v>
      </c>
      <c r="L12" s="19" t="n">
        <f aca="false">D12*G12</f>
        <v>50505.0505050505</v>
      </c>
      <c r="M12" s="19" t="n">
        <f aca="false">IF(Réforme!$B$15=1,D12,D12*(G12+H12*Réforme!$B$16+I12*Réforme!$B$17+J12*Réforme!$B$18+K12*Réforme!$B$19))</f>
        <v>80595.9567927266</v>
      </c>
      <c r="N12" s="19" t="n">
        <f aca="false">MAX(0,MIN(MAX(0,L12-Calage!$B$12),$R$5)-0)*$S$5+MAX(0,MIN(MAX(0,L12-Calage!$B$12),$R$6)-$R$5)*$S$6+MAX(0,MIN(MAX(0,L12-Calage!$B$12),$R$7)-$R$6)*$S$7+MAX(0,MIN(MAX(0,L12-Calage!$B$12),$R$8)-$R$7)*$S$8+MAX(0,MIN(MAX(0,L12-Calage!$B$12),$R$9)-$R$8)*$S$9+MAX(0,MIN(MAX(0,L12-Calage!$B$12),$R$10)-$R$9)*$S$10+MAX(0,MIN(MAX(0,L12-Calage!$B$12),$R$11)-$R$10)*$S$11</f>
        <v>0</v>
      </c>
      <c r="O12" s="19" t="n">
        <f aca="false">MAX(0,MIN(MAX(0,M12-Réforme!$B$13),Réforme!$B$5)-0)*Réforme!$C$5+MAX(0,MIN(MAX(0,M12-Réforme!$B$13),Réforme!$B$6)-Réforme!$B$5)*Réforme!$C$6+MAX(0,MIN(MAX(0,M12-Réforme!$B$13),Réforme!$B$7)-Réforme!$B$6)*Réforme!$C$7+MAX(0,MIN(MAX(0,M12-Réforme!$B$13),Réforme!$B$8)-Réforme!$B$7)*Réforme!$C$8+MAX(0,MIN(MAX(0,M12-Réforme!$B$13),Réforme!$B$9)-Réforme!$B$8)*Réforme!$C$9+MAX(0,MIN(MAX(0,M12-Réforme!$B$13),Réforme!$B$10)-Réforme!$B$9)*Réforme!$C$10+MAX(0,MIN(MAX(0,M12-Réforme!$B$13),Réforme!$B$11)-Réforme!$B$10)*Réforme!$C$11</f>
        <v>0</v>
      </c>
    </row>
    <row r="13" customFormat="false" ht="15" hidden="false" customHeight="false" outlineLevel="0" collapsed="false">
      <c r="A13" s="5" t="s">
        <v>76</v>
      </c>
      <c r="B13" s="18" t="n">
        <v>0.1</v>
      </c>
      <c r="C13" s="17" t="n">
        <v>165000</v>
      </c>
      <c r="D13" s="19" t="n">
        <f aca="false">C13/(1-E13)</f>
        <v>167004.048582996</v>
      </c>
      <c r="E13" s="18" t="n">
        <v>0.012</v>
      </c>
      <c r="F13" s="19" t="n">
        <f aca="false">D13*E13</f>
        <v>2004.04858299595</v>
      </c>
      <c r="G13" s="20" t="n">
        <f aca="false">0.012/0.026</f>
        <v>0.461538461538462</v>
      </c>
      <c r="H13" s="20" t="n">
        <f aca="false">0.15*Calage!$B$9</f>
        <v>0.08208980580591</v>
      </c>
      <c r="I13" s="20" t="n">
        <f aca="false">0*Calage!$B$10</f>
        <v>0</v>
      </c>
      <c r="J13" s="20" t="n">
        <f aca="false">0.005*Calage!$B$11</f>
        <v>0.00393755203501279</v>
      </c>
      <c r="K13" s="20" t="n">
        <f aca="false">1-G13-H13-I13-J13</f>
        <v>0.452434180620616</v>
      </c>
      <c r="L13" s="19" t="n">
        <f aca="false">D13*G13</f>
        <v>77078.7916536904</v>
      </c>
      <c r="M13" s="19" t="n">
        <f aca="false">IF(Réforme!$B$15=1,D13,D13*(G13+H13*Réforme!$B$16+I13*Réforme!$B$17+J13*Réforme!$B$18+K13*Réforme!$B$19))</f>
        <v>166565.657162094</v>
      </c>
      <c r="N13" s="19" t="n">
        <f aca="false">MAX(0,MIN(MAX(0,L13-Calage!$B$12),$R$5)-0)*$S$5+MAX(0,MIN(MAX(0,L13-Calage!$B$12),$R$6)-$R$5)*$S$6+MAX(0,MIN(MAX(0,L13-Calage!$B$12),$R$7)-$R$6)*$S$7+MAX(0,MIN(MAX(0,L13-Calage!$B$12),$R$8)-$R$7)*$S$8+MAX(0,MIN(MAX(0,L13-Calage!$B$12),$R$9)-$R$8)*$S$9+MAX(0,MIN(MAX(0,L13-Calage!$B$12),$R$10)-$R$9)*$S$10+MAX(0,MIN(MAX(0,L13-Calage!$B$12),$R$11)-$R$10)*$S$11</f>
        <v>0</v>
      </c>
      <c r="O13" s="19" t="n">
        <f aca="false">MAX(0,MIN(MAX(0,M13-Réforme!$B$13),Réforme!$B$5)-0)*Réforme!$C$5+MAX(0,MIN(MAX(0,M13-Réforme!$B$13),Réforme!$B$6)-Réforme!$B$5)*Réforme!$C$6+MAX(0,MIN(MAX(0,M13-Réforme!$B$13),Réforme!$B$7)-Réforme!$B$6)*Réforme!$C$7+MAX(0,MIN(MAX(0,M13-Réforme!$B$13),Réforme!$B$8)-Réforme!$B$7)*Réforme!$C$8+MAX(0,MIN(MAX(0,M13-Réforme!$B$13),Réforme!$B$9)-Réforme!$B$8)*Réforme!$C$9+MAX(0,MIN(MAX(0,M13-Réforme!$B$13),Réforme!$B$10)-Réforme!$B$9)*Réforme!$C$10+MAX(0,MIN(MAX(0,M13-Réforme!$B$13),Réforme!$B$11)-Réforme!$B$10)*Réforme!$C$11</f>
        <v>0</v>
      </c>
    </row>
    <row r="14" customFormat="false" ht="15" hidden="false" customHeight="false" outlineLevel="0" collapsed="false">
      <c r="A14" s="5" t="s">
        <v>77</v>
      </c>
      <c r="B14" s="18" t="n">
        <v>0.1</v>
      </c>
      <c r="C14" s="17" t="n">
        <v>290000</v>
      </c>
      <c r="D14" s="19" t="n">
        <f aca="false">C14/(1-E14)</f>
        <v>296220.633299285</v>
      </c>
      <c r="E14" s="18" t="n">
        <v>0.021</v>
      </c>
      <c r="F14" s="19" t="n">
        <f aca="false">D14*E14</f>
        <v>6220.63329928499</v>
      </c>
      <c r="G14" s="20" t="n">
        <f aca="false">0.021/0.047</f>
        <v>0.446808510638298</v>
      </c>
      <c r="H14" s="20" t="n">
        <f aca="false">0.15*Calage!$B$9</f>
        <v>0.08208980580591</v>
      </c>
      <c r="I14" s="20" t="n">
        <f aca="false">0.02*Calage!$B$10</f>
        <v>0.0140290322490918</v>
      </c>
      <c r="J14" s="20" t="n">
        <f aca="false">0.005*Calage!$B$11</f>
        <v>0.00393755203501279</v>
      </c>
      <c r="K14" s="20" t="n">
        <f aca="false">1-G14-H14-I14-J14</f>
        <v>0.453135099271688</v>
      </c>
      <c r="L14" s="19" t="n">
        <f aca="false">D14*G14</f>
        <v>132353.899984787</v>
      </c>
      <c r="M14" s="19" t="n">
        <f aca="false">IF(Réforme!$B$15=1,D14,D14*(G14+H14*Réforme!$B$16+I14*Réforme!$B$17+J14*Réforme!$B$18+K14*Réforme!$B$19))</f>
        <v>295443.043860978</v>
      </c>
      <c r="N14" s="19" t="n">
        <f aca="false">MAX(0,MIN(MAX(0,L14-Calage!$B$12),$R$5)-0)*$S$5+MAX(0,MIN(MAX(0,L14-Calage!$B$12),$R$6)-$R$5)*$S$6+MAX(0,MIN(MAX(0,L14-Calage!$B$12),$R$7)-$R$6)*$S$7+MAX(0,MIN(MAX(0,L14-Calage!$B$12),$R$8)-$R$7)*$S$8+MAX(0,MIN(MAX(0,L14-Calage!$B$12),$R$9)-$R$8)*$S$9+MAX(0,MIN(MAX(0,L14-Calage!$B$12),$R$10)-$R$9)*$S$10+MAX(0,MIN(MAX(0,L14-Calage!$B$12),$R$11)-$R$10)*$S$11</f>
        <v>4665.12999695738</v>
      </c>
      <c r="O14" s="19" t="n">
        <f aca="false">MAX(0,MIN(MAX(0,M14-Réforme!$B$13),Réforme!$B$5)-0)*Réforme!$C$5+MAX(0,MIN(MAX(0,M14-Réforme!$B$13),Réforme!$B$6)-Réforme!$B$5)*Réforme!$C$6+MAX(0,MIN(MAX(0,M14-Réforme!$B$13),Réforme!$B$7)-Réforme!$B$6)*Réforme!$C$7+MAX(0,MIN(MAX(0,M14-Réforme!$B$13),Réforme!$B$8)-Réforme!$B$7)*Réforme!$C$8+MAX(0,MIN(MAX(0,M14-Réforme!$B$13),Réforme!$B$9)-Réforme!$B$8)*Réforme!$C$9+MAX(0,MIN(MAX(0,M14-Réforme!$B$13),Réforme!$B$10)-Réforme!$B$9)*Réforme!$C$10+MAX(0,MIN(MAX(0,M14-Réforme!$B$13),Réforme!$B$11)-Réforme!$B$10)*Réforme!$C$11</f>
        <v>4772.1521930489</v>
      </c>
    </row>
    <row r="15" customFormat="false" ht="15" hidden="false" customHeight="false" outlineLevel="0" collapsed="false">
      <c r="A15" s="5" t="s">
        <v>78</v>
      </c>
      <c r="B15" s="18" t="n">
        <v>0.05</v>
      </c>
      <c r="C15" s="17" t="n">
        <v>480000</v>
      </c>
      <c r="D15" s="19" t="n">
        <f aca="false">C15/(1-E15)</f>
        <v>500000</v>
      </c>
      <c r="E15" s="18" t="n">
        <v>0.04</v>
      </c>
      <c r="F15" s="19" t="n">
        <f aca="false">D15*E15</f>
        <v>20000</v>
      </c>
      <c r="G15" s="20" t="n">
        <f aca="false">0.04/0.098</f>
        <v>0.408163265306122</v>
      </c>
      <c r="H15" s="20" t="n">
        <f aca="false">0.18*Calage!$B$9</f>
        <v>0.098507766967092</v>
      </c>
      <c r="I15" s="20" t="n">
        <f aca="false">0.05*Calage!$B$10</f>
        <v>0.0350725806227295</v>
      </c>
      <c r="J15" s="20" t="n">
        <f aca="false">0.01*Calage!$B$11</f>
        <v>0.00787510407002557</v>
      </c>
      <c r="K15" s="20" t="n">
        <f aca="false">1-G15-H15-I15-J15</f>
        <v>0.450381283034031</v>
      </c>
      <c r="L15" s="19" t="n">
        <f aca="false">D15*G15</f>
        <v>204081.632653061</v>
      </c>
      <c r="M15" s="19" t="n">
        <f aca="false">IF(Réforme!$B$15=1,D15,D15*(G15+H15*Réforme!$B$16+I15*Réforme!$B$17+J15*Réforme!$B$18+K15*Réforme!$B$19))</f>
        <v>497374.965309992</v>
      </c>
      <c r="N15" s="19" t="n">
        <f aca="false">MAX(0,MIN(MAX(0,L15-Calage!$B$12),$R$5)-0)*$S$5+MAX(0,MIN(MAX(0,L15-Calage!$B$12),$R$6)-$R$5)*$S$6+MAX(0,MIN(MAX(0,L15-Calage!$B$12),$R$7)-$R$6)*$S$7+MAX(0,MIN(MAX(0,L15-Calage!$B$12),$R$8)-$R$7)*$S$8+MAX(0,MIN(MAX(0,L15-Calage!$B$12),$R$9)-$R$8)*$S$9+MAX(0,MIN(MAX(0,L15-Calage!$B$12),$R$10)-$R$9)*$S$10+MAX(0,MIN(MAX(0,L15-Calage!$B$12),$R$11)-$R$10)*$S$11</f>
        <v>19010.6765306123</v>
      </c>
      <c r="O15" s="19" t="n">
        <f aca="false">MAX(0,MIN(MAX(0,M15-Réforme!$B$13),Réforme!$B$5)-0)*Réforme!$C$5+MAX(0,MIN(MAX(0,M15-Réforme!$B$13),Réforme!$B$6)-Réforme!$B$5)*Réforme!$C$6+MAX(0,MIN(MAX(0,M15-Réforme!$B$13),Réforme!$B$7)-Réforme!$B$6)*Réforme!$C$7+MAX(0,MIN(MAX(0,M15-Réforme!$B$13),Réforme!$B$8)-Réforme!$B$7)*Réforme!$C$8+MAX(0,MIN(MAX(0,M15-Réforme!$B$13),Réforme!$B$9)-Réforme!$B$8)*Réforme!$C$9+MAX(0,MIN(MAX(0,M15-Réforme!$B$13),Réforme!$B$10)-Réforme!$B$9)*Réforme!$C$10+MAX(0,MIN(MAX(0,M15-Réforme!$B$13),Réforme!$B$11)-Réforme!$B$10)*Réforme!$C$11</f>
        <v>14868.7482654996</v>
      </c>
    </row>
    <row r="16" customFormat="false" ht="15" hidden="false" customHeight="false" outlineLevel="0" collapsed="false">
      <c r="A16" s="5" t="s">
        <v>79</v>
      </c>
      <c r="B16" s="18" t="n">
        <v>0.04</v>
      </c>
      <c r="C16" s="17" t="n">
        <v>1050000</v>
      </c>
      <c r="D16" s="19" t="n">
        <f aca="false">C16/(1-E16)</f>
        <v>1121794.87179487</v>
      </c>
      <c r="E16" s="18" t="n">
        <v>0.064</v>
      </c>
      <c r="F16" s="19" t="n">
        <f aca="false">D16*E16</f>
        <v>71794.8717948718</v>
      </c>
      <c r="G16" s="20" t="n">
        <f aca="false">0.064/0.164</f>
        <v>0.390243902439024</v>
      </c>
      <c r="H16" s="20" t="n">
        <f aca="false">0.18*Calage!$B$9</f>
        <v>0.098507766967092</v>
      </c>
      <c r="I16" s="20" t="n">
        <f aca="false">0.05*Calage!$B$10</f>
        <v>0.0350725806227295</v>
      </c>
      <c r="J16" s="20" t="n">
        <f aca="false">0.02*Calage!$B$11</f>
        <v>0.0157502081400511</v>
      </c>
      <c r="K16" s="20" t="n">
        <f aca="false">1-G16-H16-I16-J16</f>
        <v>0.460425541831103</v>
      </c>
      <c r="L16" s="19" t="n">
        <f aca="false">D16*G16</f>
        <v>437773.608505316</v>
      </c>
      <c r="M16" s="19" t="n">
        <f aca="false">IF(Réforme!$B$15=1,D16,D16*(G16+H16*Réforme!$B$16+I16*Réforme!$B$17+J16*Réforme!$B$18+K16*Réforme!$B$19))</f>
        <v>1110015.86998073</v>
      </c>
      <c r="N16" s="19" t="n">
        <f aca="false">MAX(0,MIN(MAX(0,L16-Calage!$B$12),$R$5)-0)*$S$5+MAX(0,MIN(MAX(0,L16-Calage!$B$12),$R$6)-$R$5)*$S$6+MAX(0,MIN(MAX(0,L16-Calage!$B$12),$R$7)-$R$6)*$S$7+MAX(0,MIN(MAX(0,L16-Calage!$B$12),$R$8)-$R$7)*$S$8+MAX(0,MIN(MAX(0,L16-Calage!$B$12),$R$9)-$R$8)*$S$9+MAX(0,MIN(MAX(0,L16-Calage!$B$12),$R$10)-$R$9)*$S$10+MAX(0,MIN(MAX(0,L16-Calage!$B$12),$R$11)-$R$10)*$S$11</f>
        <v>65749.0717010632</v>
      </c>
      <c r="O16" s="19" t="n">
        <f aca="false">MAX(0,MIN(MAX(0,M16-Réforme!$B$13),Réforme!$B$5)-0)*Réforme!$C$5+MAX(0,MIN(MAX(0,M16-Réforme!$B$13),Réforme!$B$6)-Réforme!$B$5)*Réforme!$C$6+MAX(0,MIN(MAX(0,M16-Réforme!$B$13),Réforme!$B$7)-Réforme!$B$6)*Réforme!$C$7+MAX(0,MIN(MAX(0,M16-Réforme!$B$13),Réforme!$B$8)-Réforme!$B$7)*Réforme!$C$8+MAX(0,MIN(MAX(0,M16-Réforme!$B$13),Réforme!$B$9)-Réforme!$B$8)*Réforme!$C$9+MAX(0,MIN(MAX(0,M16-Réforme!$B$13),Réforme!$B$10)-Réforme!$B$9)*Réforme!$C$10+MAX(0,MIN(MAX(0,M16-Réforme!$B$13),Réforme!$B$11)-Réforme!$B$10)*Réforme!$C$11</f>
        <v>76502.3804971097</v>
      </c>
    </row>
    <row r="17" customFormat="false" ht="15" hidden="false" customHeight="false" outlineLevel="0" collapsed="false">
      <c r="A17" s="5" t="s">
        <v>80</v>
      </c>
      <c r="B17" s="18" t="n">
        <v>0.005</v>
      </c>
      <c r="C17" s="17" t="n">
        <v>2500000</v>
      </c>
      <c r="D17" s="19" t="n">
        <f aca="false">C17/(1-E17)</f>
        <v>2688172.04301075</v>
      </c>
      <c r="E17" s="18" t="n">
        <v>0.07</v>
      </c>
      <c r="F17" s="19" t="n">
        <f aca="false">D17*E17</f>
        <v>188172.043010753</v>
      </c>
      <c r="G17" s="20" t="n">
        <f aca="false">0.07/0.198</f>
        <v>0.353535353535354</v>
      </c>
      <c r="H17" s="20" t="n">
        <f aca="false">0.12*Calage!$B$9</f>
        <v>0.065671844644728</v>
      </c>
      <c r="I17" s="20" t="n">
        <f aca="false">0.08*Calage!$B$10</f>
        <v>0.0561161289963672</v>
      </c>
      <c r="J17" s="20" t="n">
        <f aca="false">0.04*Calage!$B$11</f>
        <v>0.0315004162801023</v>
      </c>
      <c r="K17" s="20" t="n">
        <f aca="false">1-G17-H17-I17-J17</f>
        <v>0.493176256543449</v>
      </c>
      <c r="L17" s="19" t="n">
        <f aca="false">D17*G17</f>
        <v>950363.85358966</v>
      </c>
      <c r="M17" s="19" t="n">
        <f aca="false">IF(Réforme!$B$15=1,D17,D17*(G17+H17*Réforme!$B$16+I17*Réforme!$B$17+J17*Réforme!$B$18+K17*Réforme!$B$19))</f>
        <v>2631719.68408584</v>
      </c>
      <c r="N17" s="19" t="n">
        <f aca="false">MAX(0,MIN(MAX(0,L17-Calage!$B$12),$R$5)-0)*$S$5+MAX(0,MIN(MAX(0,L17-Calage!$B$12),$R$6)-$R$5)*$S$6+MAX(0,MIN(MAX(0,L17-Calage!$B$12),$R$7)-$R$6)*$S$7+MAX(0,MIN(MAX(0,L17-Calage!$B$12),$R$8)-$R$7)*$S$8+MAX(0,MIN(MAX(0,L17-Calage!$B$12),$R$9)-$R$8)*$S$9+MAX(0,MIN(MAX(0,L17-Calage!$B$12),$R$10)-$R$9)*$S$10+MAX(0,MIN(MAX(0,L17-Calage!$B$12),$R$11)-$R$10)*$S$11</f>
        <v>198071.106076898</v>
      </c>
      <c r="O17" s="19" t="n">
        <f aca="false">MAX(0,MIN(MAX(0,M17-Réforme!$B$13),Réforme!$B$5)-0)*Réforme!$C$5+MAX(0,MIN(MAX(0,M17-Réforme!$B$13),Réforme!$B$6)-Réforme!$B$5)*Réforme!$C$6+MAX(0,MIN(MAX(0,M17-Réforme!$B$13),Réforme!$B$7)-Réforme!$B$6)*Réforme!$C$7+MAX(0,MIN(MAX(0,M17-Réforme!$B$13),Réforme!$B$8)-Réforme!$B$7)*Réforme!$C$8+MAX(0,MIN(MAX(0,M17-Réforme!$B$13),Réforme!$B$9)-Réforme!$B$8)*Réforme!$C$9+MAX(0,MIN(MAX(0,M17-Réforme!$B$13),Réforme!$B$10)-Réforme!$B$9)*Réforme!$C$10+MAX(0,MIN(MAX(0,M17-Réforme!$B$13),Réforme!$B$11)-Réforme!$B$10)*Réforme!$C$11</f>
        <v>511101.889430043</v>
      </c>
    </row>
    <row r="18" customFormat="false" ht="15" hidden="false" customHeight="false" outlineLevel="0" collapsed="false">
      <c r="A18" s="5" t="s">
        <v>81</v>
      </c>
      <c r="B18" s="18" t="n">
        <v>0.004</v>
      </c>
      <c r="C18" s="17" t="n">
        <v>4000000</v>
      </c>
      <c r="D18" s="19" t="n">
        <f aca="false">C18/(1-E18)</f>
        <v>4362050.16357688</v>
      </c>
      <c r="E18" s="18" t="n">
        <v>0.083</v>
      </c>
      <c r="F18" s="19" t="n">
        <f aca="false">D18*E18</f>
        <v>362050.163576881</v>
      </c>
      <c r="G18" s="20" t="n">
        <f aca="false">0.083/0.223</f>
        <v>0.37219730941704</v>
      </c>
      <c r="H18" s="20" t="n">
        <f aca="false">0.12*Calage!$B$9</f>
        <v>0.065671844644728</v>
      </c>
      <c r="I18" s="20" t="n">
        <f aca="false">0.08*Calage!$B$10</f>
        <v>0.0561161289963672</v>
      </c>
      <c r="J18" s="20" t="n">
        <f aca="false">0.1*Calage!$B$11</f>
        <v>0.0787510407002557</v>
      </c>
      <c r="K18" s="20" t="n">
        <f aca="false">1-G18-H18-I18-J18</f>
        <v>0.427263676241609</v>
      </c>
      <c r="L18" s="19" t="n">
        <f aca="false">D18*G18</f>
        <v>1623543.33442548</v>
      </c>
      <c r="M18" s="19" t="n">
        <f aca="false">IF(Réforme!$B$15=1,D18,D18*(G18+H18*Réforme!$B$16+I18*Réforme!$B$17+J18*Réforme!$B$18+K18*Réforme!$B$19))</f>
        <v>4133039.50359795</v>
      </c>
      <c r="N18" s="19" t="n">
        <f aca="false">MAX(0,MIN(MAX(0,L18-Calage!$B$12),$R$5)-0)*$S$5+MAX(0,MIN(MAX(0,L18-Calage!$B$12),$R$6)-$R$5)*$S$6+MAX(0,MIN(MAX(0,L18-Calage!$B$12),$R$7)-$R$6)*$S$7+MAX(0,MIN(MAX(0,L18-Calage!$B$12),$R$8)-$R$7)*$S$8+MAX(0,MIN(MAX(0,L18-Calage!$B$12),$R$9)-$R$8)*$S$9+MAX(0,MIN(MAX(0,L18-Calage!$B$12),$R$10)-$R$9)*$S$10+MAX(0,MIN(MAX(0,L18-Calage!$B$12),$R$11)-$R$10)*$S$11</f>
        <v>462095.483770191</v>
      </c>
      <c r="O18" s="19" t="n">
        <f aca="false">MAX(0,MIN(MAX(0,M18-Réforme!$B$13),Réforme!$B$5)-0)*Réforme!$C$5+MAX(0,MIN(MAX(0,M18-Réforme!$B$13),Réforme!$B$6)-Réforme!$B$5)*Réforme!$C$6+MAX(0,MIN(MAX(0,M18-Réforme!$B$13),Réforme!$B$7)-Réforme!$B$6)*Réforme!$C$7+MAX(0,MIN(MAX(0,M18-Réforme!$B$13),Réforme!$B$8)-Réforme!$B$7)*Réforme!$C$8+MAX(0,MIN(MAX(0,M18-Réforme!$B$13),Réforme!$B$9)-Réforme!$B$8)*Réforme!$C$9+MAX(0,MIN(MAX(0,M18-Réforme!$B$13),Réforme!$B$10)-Réforme!$B$9)*Réforme!$C$10+MAX(0,MIN(MAX(0,M18-Réforme!$B$13),Réforme!$B$11)-Réforme!$B$10)*Réforme!$C$11</f>
        <v>1049867.77661908</v>
      </c>
    </row>
    <row r="19" customFormat="false" ht="15" hidden="false" customHeight="false" outlineLevel="0" collapsed="false">
      <c r="A19" s="5" t="s">
        <v>82</v>
      </c>
      <c r="B19" s="18" t="n">
        <v>0.001</v>
      </c>
      <c r="C19" s="17" t="n">
        <v>12900000</v>
      </c>
      <c r="D19" s="19" t="n">
        <f aca="false">C19/(1-E19)</f>
        <v>14317425.0832408</v>
      </c>
      <c r="E19" s="18" t="n">
        <v>0.099</v>
      </c>
      <c r="F19" s="19" t="n">
        <f aca="false">D19*E19</f>
        <v>1417425.08324084</v>
      </c>
      <c r="G19" s="20" t="n">
        <f aca="false">0.099/0.31</f>
        <v>0.319354838709677</v>
      </c>
      <c r="H19" s="20" t="n">
        <f aca="false">0.06*Calage!$B$9</f>
        <v>0.032835922322364</v>
      </c>
      <c r="I19" s="20" t="n">
        <f aca="false">0.08*Calage!$B$10</f>
        <v>0.0561161289963672</v>
      </c>
      <c r="J19" s="20" t="n">
        <f aca="false">0.3*Calage!$B$11</f>
        <v>0.236253122100767</v>
      </c>
      <c r="K19" s="20" t="n">
        <f aca="false">1-G19-H19-I19-J19</f>
        <v>0.355439987870824</v>
      </c>
      <c r="L19" s="19" t="n">
        <f aca="false">D19*G19</f>
        <v>4572338.97819627</v>
      </c>
      <c r="M19" s="19" t="n">
        <f aca="false">IF(Réforme!$B$15=1,D19,D19*(G19+H19*Réforme!$B$16+I19*Réforme!$B$17+J19*Réforme!$B$18+K19*Réforme!$B$19))</f>
        <v>12062400.8323345</v>
      </c>
      <c r="N19" s="19" t="n">
        <f aca="false">MAX(0,MIN(MAX(0,L19-Calage!$B$12),$R$5)-0)*$S$5+MAX(0,MIN(MAX(0,L19-Calage!$B$12),$R$6)-$R$5)*$S$6+MAX(0,MIN(MAX(0,L19-Calage!$B$12),$R$7)-$R$6)*$S$7+MAX(0,MIN(MAX(0,L19-Calage!$B$12),$R$8)-$R$7)*$S$8+MAX(0,MIN(MAX(0,L19-Calage!$B$12),$R$9)-$R$8)*$S$9+MAX(0,MIN(MAX(0,L19-Calage!$B$12),$R$10)-$R$9)*$S$10+MAX(0,MIN(MAX(0,L19-Calage!$B$12),$R$11)-$R$10)*$S$11</f>
        <v>1774946.84018832</v>
      </c>
      <c r="O19" s="19" t="n">
        <f aca="false">MAX(0,MIN(MAX(0,M19-Réforme!$B$13),Réforme!$B$5)-0)*Réforme!$C$5+MAX(0,MIN(MAX(0,M19-Réforme!$B$13),Réforme!$B$6)-Réforme!$B$5)*Réforme!$C$6+MAX(0,MIN(MAX(0,M19-Réforme!$B$13),Réforme!$B$7)-Réforme!$B$6)*Réforme!$C$7+MAX(0,MIN(MAX(0,M19-Réforme!$B$13),Réforme!$B$8)-Réforme!$B$7)*Réforme!$C$8+MAX(0,MIN(MAX(0,M19-Réforme!$B$13),Réforme!$B$9)-Réforme!$B$8)*Réforme!$C$9+MAX(0,MIN(MAX(0,M19-Réforme!$B$13),Réforme!$B$10)-Réforme!$B$9)*Réforme!$C$10+MAX(0,MIN(MAX(0,M19-Réforme!$B$13),Réforme!$B$11)-Réforme!$B$10)*Réforme!$C$11</f>
        <v>4921200.41616726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5" t="s">
        <v>84</v>
      </c>
      <c r="D3" s="21" t="n">
        <f aca="false">Calage!$B$5*SUMPRODUCT(Tranches!$B$6:$B$19,Tranches!$N$6:$N$19)/1000000000</f>
        <v>15.1383261317748</v>
      </c>
    </row>
    <row r="4" customFormat="false" ht="15" hidden="false" customHeight="false" outlineLevel="0" collapsed="false">
      <c r="A4" s="5" t="s">
        <v>85</v>
      </c>
      <c r="D4" s="21" t="n">
        <f aca="false">Calage!$B$5*SUMPRODUCT(Tranches!$B$6:$B$19,Tranches!$O$6:$O$19)/1000000000</f>
        <v>27.8916669466699</v>
      </c>
    </row>
    <row r="6" customFormat="false" ht="23.85" hidden="false" customHeight="false" outlineLevel="0" collapsed="false">
      <c r="A6" s="10" t="s">
        <v>86</v>
      </c>
      <c r="B6" s="10" t="s">
        <v>87</v>
      </c>
      <c r="C6" s="10" t="s">
        <v>88</v>
      </c>
      <c r="D6" s="10" t="s">
        <v>89</v>
      </c>
      <c r="E6" s="10" t="s">
        <v>90</v>
      </c>
      <c r="F6" s="10" t="s">
        <v>91</v>
      </c>
      <c r="G6" s="5" t="s">
        <v>92</v>
      </c>
    </row>
    <row r="7" customFormat="false" ht="15" hidden="false" customHeight="false" outlineLevel="0" collapsed="false">
      <c r="A7" s="22" t="n">
        <v>2025</v>
      </c>
      <c r="B7" s="23" t="n">
        <v>464</v>
      </c>
      <c r="C7" s="24" t="n">
        <f aca="false">$D$3*B7/Calage!$B$6</f>
        <v>20.5572437406118</v>
      </c>
      <c r="D7" s="24" t="n">
        <f aca="false">($D$4-$D$3)*B7/Calage!$B$6</f>
        <v>17.3185287036853</v>
      </c>
      <c r="E7" s="24" t="n">
        <f aca="false">G7*IF(Réforme!$B$15=1,2,Réforme!$B$20)</f>
        <v>6.62</v>
      </c>
      <c r="F7" s="25" t="n">
        <f aca="false">D7+E7</f>
        <v>23.9385287036853</v>
      </c>
      <c r="G7" s="26" t="n">
        <v>6.62</v>
      </c>
    </row>
    <row r="8" customFormat="false" ht="15" hidden="false" customHeight="false" outlineLevel="0" collapsed="false">
      <c r="A8" s="22" t="n">
        <v>2026</v>
      </c>
      <c r="B8" s="23" t="n">
        <v>476</v>
      </c>
      <c r="C8" s="24" t="n">
        <f aca="false">$D$3*B8/Calage!$B$6</f>
        <v>21.0888965959724</v>
      </c>
      <c r="D8" s="24" t="n">
        <f aca="false">($D$4-$D$3)*B8/Calage!$B$6</f>
        <v>17.7664216874013</v>
      </c>
      <c r="E8" s="24" t="n">
        <f aca="false">G8*IF(Réforme!$B$15=1,2,Réforme!$B$20)</f>
        <v>6.95</v>
      </c>
      <c r="F8" s="25" t="n">
        <f aca="false">D8+E8</f>
        <v>24.7164216874013</v>
      </c>
      <c r="G8" s="26" t="n">
        <v>6.95</v>
      </c>
    </row>
    <row r="9" customFormat="false" ht="15" hidden="false" customHeight="false" outlineLevel="0" collapsed="false">
      <c r="A9" s="22" t="n">
        <v>2027</v>
      </c>
      <c r="B9" s="23" t="n">
        <v>489</v>
      </c>
      <c r="C9" s="24" t="n">
        <f aca="false">$D$3*B9/Calage!$B$6</f>
        <v>21.6648538559464</v>
      </c>
      <c r="D9" s="24" t="n">
        <f aca="false">($D$4-$D$3)*B9/Calage!$B$6</f>
        <v>18.2516390864269</v>
      </c>
      <c r="E9" s="24" t="n">
        <f aca="false">G9*IF(Réforme!$B$15=1,2,Réforme!$B$20)</f>
        <v>7.3</v>
      </c>
      <c r="F9" s="25" t="n">
        <f aca="false">D9+E9</f>
        <v>25.5516390864269</v>
      </c>
      <c r="G9" s="26" t="n">
        <v>7.3</v>
      </c>
    </row>
    <row r="10" customFormat="false" ht="15" hidden="false" customHeight="false" outlineLevel="0" collapsed="false">
      <c r="A10" s="22" t="n">
        <v>2028</v>
      </c>
      <c r="B10" s="23" t="n">
        <v>502</v>
      </c>
      <c r="C10" s="24" t="n">
        <f aca="false">$D$3*B10/Calage!$B$6</f>
        <v>22.2408111159205</v>
      </c>
      <c r="D10" s="24" t="n">
        <f aca="false">($D$4-$D$3)*B10/Calage!$B$6</f>
        <v>18.7368564854526</v>
      </c>
      <c r="E10" s="24" t="n">
        <f aca="false">G10*IF(Réforme!$B$15=1,2,Réforme!$B$20)</f>
        <v>7.67</v>
      </c>
      <c r="F10" s="25" t="n">
        <f aca="false">D10+E10</f>
        <v>26.4068564854526</v>
      </c>
      <c r="G10" s="26" t="n">
        <v>7.67</v>
      </c>
    </row>
    <row r="11" customFormat="false" ht="15" hidden="false" customHeight="false" outlineLevel="0" collapsed="false">
      <c r="A11" s="22" t="n">
        <v>2029</v>
      </c>
      <c r="B11" s="23" t="n">
        <v>516</v>
      </c>
      <c r="C11" s="24" t="n">
        <f aca="false">$D$3*B11/Calage!$B$6</f>
        <v>22.8610727805079</v>
      </c>
      <c r="D11" s="24" t="n">
        <f aca="false">($D$4-$D$3)*B11/Calage!$B$6</f>
        <v>19.2593982997879</v>
      </c>
      <c r="E11" s="24" t="n">
        <f aca="false">G11*IF(Réforme!$B$15=1,2,Réforme!$B$20)</f>
        <v>8.05</v>
      </c>
      <c r="F11" s="25" t="n">
        <f aca="false">D11+E11</f>
        <v>27.3093982997879</v>
      </c>
      <c r="G11" s="26" t="n">
        <v>8.05</v>
      </c>
    </row>
    <row r="12" customFormat="false" ht="15" hidden="false" customHeight="false" outlineLevel="0" collapsed="false">
      <c r="A12" s="22" t="n">
        <v>2030</v>
      </c>
      <c r="B12" s="23" t="n">
        <v>529</v>
      </c>
      <c r="C12" s="24" t="n">
        <f aca="false">$D$3*B12/Calage!$B$6</f>
        <v>23.4370300404819</v>
      </c>
      <c r="D12" s="24" t="n">
        <f aca="false">($D$4-$D$3)*B12/Calage!$B$6</f>
        <v>19.7446156988136</v>
      </c>
      <c r="E12" s="24" t="n">
        <f aca="false">G12*IF(Réforme!$B$15=1,2,Réforme!$B$20)</f>
        <v>8.45</v>
      </c>
      <c r="F12" s="25" t="n">
        <f aca="false">D12+E12</f>
        <v>28.1946156988136</v>
      </c>
      <c r="G12" s="26" t="n">
        <v>8.45</v>
      </c>
    </row>
    <row r="13" customFormat="false" ht="15" hidden="false" customHeight="false" outlineLevel="0" collapsed="false">
      <c r="A13" s="22" t="n">
        <v>2031</v>
      </c>
      <c r="B13" s="23" t="n">
        <v>543</v>
      </c>
      <c r="C13" s="24" t="n">
        <f aca="false">$D$3*B13/Calage!$B$6</f>
        <v>24.0572917050694</v>
      </c>
      <c r="D13" s="24" t="n">
        <f aca="false">($D$4-$D$3)*B13/Calage!$B$6</f>
        <v>20.2671575131489</v>
      </c>
      <c r="E13" s="24" t="n">
        <f aca="false">G13*IF(Réforme!$B$15=1,2,Réforme!$B$20)</f>
        <v>8.87</v>
      </c>
      <c r="F13" s="25" t="n">
        <f aca="false">D13+E13</f>
        <v>29.1371575131489</v>
      </c>
      <c r="G13" s="26" t="n">
        <v>8.87</v>
      </c>
    </row>
    <row r="14" customFormat="false" ht="15" hidden="false" customHeight="false" outlineLevel="0" collapsed="false">
      <c r="A14" s="22" t="n">
        <v>2032</v>
      </c>
      <c r="B14" s="23" t="n">
        <v>557</v>
      </c>
      <c r="C14" s="24" t="n">
        <f aca="false">$D$3*B14/Calage!$B$6</f>
        <v>24.6775533696568</v>
      </c>
      <c r="D14" s="24" t="n">
        <f aca="false">($D$4-$D$3)*B14/Calage!$B$6</f>
        <v>20.7896993274843</v>
      </c>
      <c r="E14" s="24" t="n">
        <f aca="false">G14*IF(Réforme!$B$15=1,2,Réforme!$B$20)</f>
        <v>9.36</v>
      </c>
      <c r="F14" s="25" t="n">
        <f aca="false">D14+E14</f>
        <v>30.1496993274843</v>
      </c>
      <c r="G14" s="26" t="n">
        <v>9.36</v>
      </c>
    </row>
    <row r="15" customFormat="false" ht="15" hidden="false" customHeight="false" outlineLevel="0" collapsed="false">
      <c r="A15" s="22" t="n">
        <v>2033</v>
      </c>
      <c r="B15" s="23" t="n">
        <v>571</v>
      </c>
      <c r="C15" s="24" t="n">
        <f aca="false">$D$3*B15/Calage!$B$6</f>
        <v>25.2978150342442</v>
      </c>
      <c r="D15" s="24" t="n">
        <f aca="false">($D$4-$D$3)*B15/Calage!$B$6</f>
        <v>21.3122411418196</v>
      </c>
      <c r="E15" s="24" t="n">
        <f aca="false">G15*IF(Réforme!$B$15=1,2,Réforme!$B$20)</f>
        <v>9.86</v>
      </c>
      <c r="F15" s="25" t="n">
        <f aca="false">D15+E15</f>
        <v>31.1722411418196</v>
      </c>
      <c r="G15" s="26" t="n">
        <v>9.86</v>
      </c>
    </row>
    <row r="16" customFormat="false" ht="15" hidden="false" customHeight="false" outlineLevel="0" collapsed="false">
      <c r="A16" s="22" t="n">
        <v>2034</v>
      </c>
      <c r="B16" s="23" t="n">
        <v>585</v>
      </c>
      <c r="C16" s="24" t="n">
        <f aca="false">$D$3*B16/Calage!$B$6</f>
        <v>25.9180766988316</v>
      </c>
      <c r="D16" s="24" t="n">
        <f aca="false">($D$4-$D$3)*B16/Calage!$B$6</f>
        <v>21.8347829561549</v>
      </c>
      <c r="E16" s="24" t="n">
        <f aca="false">G16*IF(Réforme!$B$15=1,2,Réforme!$B$20)</f>
        <v>10.39</v>
      </c>
      <c r="F16" s="25" t="n">
        <f aca="false">D16+E16</f>
        <v>32.2247829561549</v>
      </c>
      <c r="G16" s="26" t="n">
        <v>10.39</v>
      </c>
    </row>
    <row r="17" customFormat="false" ht="15" hidden="false" customHeight="false" outlineLevel="0" collapsed="false">
      <c r="A17" s="22" t="n">
        <v>2035</v>
      </c>
      <c r="B17" s="23" t="n">
        <v>600</v>
      </c>
      <c r="C17" s="24" t="n">
        <f aca="false">$D$3*B17/Calage!$B$6</f>
        <v>26.5826427680324</v>
      </c>
      <c r="D17" s="24" t="n">
        <f aca="false">($D$4-$D$3)*B17/Calage!$B$6</f>
        <v>22.3946491857999</v>
      </c>
      <c r="E17" s="24" t="n">
        <f aca="false">G17*IF(Réforme!$B$15=1,2,Réforme!$B$20)</f>
        <v>10.95</v>
      </c>
      <c r="F17" s="25" t="n">
        <f aca="false">D17+E17</f>
        <v>33.3446491857999</v>
      </c>
      <c r="G17" s="26" t="n">
        <v>10.95</v>
      </c>
    </row>
    <row r="18" customFormat="false" ht="15" hidden="false" customHeight="false" outlineLevel="0" collapsed="false">
      <c r="A18" s="22" t="n">
        <v>2036</v>
      </c>
      <c r="B18" s="23" t="n">
        <v>615</v>
      </c>
      <c r="C18" s="24" t="n">
        <f aca="false">$D$3*B18/Calage!$B$6</f>
        <v>27.2472088372332</v>
      </c>
      <c r="D18" s="24" t="n">
        <f aca="false">($D$4-$D$3)*B18/Calage!$B$6</f>
        <v>22.9545154154449</v>
      </c>
      <c r="E18" s="24" t="n">
        <f aca="false">G18*IF(Réforme!$B$15=1,2,Réforme!$B$20)</f>
        <v>11.54</v>
      </c>
      <c r="F18" s="25" t="n">
        <f aca="false">D18+E18</f>
        <v>34.4945154154449</v>
      </c>
      <c r="G18" s="26" t="n">
        <v>11.54</v>
      </c>
    </row>
    <row r="19" customFormat="false" ht="15" hidden="false" customHeight="false" outlineLevel="0" collapsed="false">
      <c r="A19" s="22" t="n">
        <v>2037</v>
      </c>
      <c r="B19" s="23" t="n">
        <v>630</v>
      </c>
      <c r="C19" s="24" t="n">
        <f aca="false">$D$3*B19/Calage!$B$6</f>
        <v>27.9117749064341</v>
      </c>
      <c r="D19" s="24" t="n">
        <f aca="false">($D$4-$D$3)*B19/Calage!$B$6</f>
        <v>23.5143816450899</v>
      </c>
      <c r="E19" s="24" t="n">
        <f aca="false">G19*IF(Réforme!$B$15=1,2,Réforme!$B$20)</f>
        <v>12.16</v>
      </c>
      <c r="F19" s="25" t="n">
        <f aca="false">D19+E19</f>
        <v>35.6743816450899</v>
      </c>
      <c r="G19" s="26" t="n">
        <v>12.16</v>
      </c>
    </row>
    <row r="20" customFormat="false" ht="15" hidden="false" customHeight="false" outlineLevel="0" collapsed="false">
      <c r="A20" s="22" t="n">
        <v>2038</v>
      </c>
      <c r="B20" s="23" t="n">
        <v>645</v>
      </c>
      <c r="C20" s="24" t="n">
        <f aca="false">$D$3*B20/Calage!$B$6</f>
        <v>28.5763409756349</v>
      </c>
      <c r="D20" s="24" t="n">
        <f aca="false">($D$4-$D$3)*B20/Calage!$B$6</f>
        <v>24.0742478747349</v>
      </c>
      <c r="E20" s="24" t="n">
        <f aca="false">G20*IF(Réforme!$B$15=1,2,Réforme!$B$20)</f>
        <v>12.86</v>
      </c>
      <c r="F20" s="25" t="n">
        <f aca="false">D20+E20</f>
        <v>36.9342478747349</v>
      </c>
      <c r="G20" s="26" t="n">
        <v>12.86</v>
      </c>
    </row>
    <row r="21" customFormat="false" ht="15" hidden="false" customHeight="false" outlineLevel="0" collapsed="false">
      <c r="A21" s="22" t="n">
        <v>2039</v>
      </c>
      <c r="B21" s="23" t="n">
        <v>661</v>
      </c>
      <c r="C21" s="24" t="n">
        <f aca="false">$D$3*B21/Calage!$B$6</f>
        <v>29.2852114494491</v>
      </c>
      <c r="D21" s="24" t="n">
        <f aca="false">($D$4-$D$3)*B21/Calage!$B$6</f>
        <v>24.6714385196896</v>
      </c>
      <c r="E21" s="24" t="n">
        <f aca="false">G21*IF(Réforme!$B$15=1,2,Réforme!$B$20)</f>
        <v>13.54</v>
      </c>
      <c r="F21" s="25" t="n">
        <f aca="false">D21+E21</f>
        <v>38.2114385196896</v>
      </c>
      <c r="G21" s="26" t="n">
        <v>13.54</v>
      </c>
    </row>
    <row r="22" customFormat="false" ht="15" hidden="false" customHeight="false" outlineLevel="0" collapsed="false">
      <c r="A22" s="22" t="n">
        <v>2040</v>
      </c>
      <c r="B22" s="23" t="n">
        <v>677</v>
      </c>
      <c r="C22" s="24" t="n">
        <f aca="false">$D$3*B22/Calage!$B$6</f>
        <v>29.9940819232633</v>
      </c>
      <c r="D22" s="24" t="n">
        <f aca="false">($D$4-$D$3)*B22/Calage!$B$6</f>
        <v>25.2686291646442</v>
      </c>
      <c r="E22" s="24" t="n">
        <f aca="false">G22*IF(Réforme!$B$15=1,2,Réforme!$B$20)</f>
        <v>14.26</v>
      </c>
      <c r="F22" s="25" t="n">
        <f aca="false">D22+E22</f>
        <v>39.5286291646442</v>
      </c>
      <c r="G22" s="26" t="n">
        <v>14.26</v>
      </c>
    </row>
    <row r="24" customFormat="false" ht="15" hidden="false" customHeight="false" outlineLevel="0" collapsed="false">
      <c r="A24" s="3" t="s">
        <v>93</v>
      </c>
      <c r="F24" s="25" t="n">
        <f aca="false">SUM(F7:F22)</f>
        <v>496.989202705579</v>
      </c>
    </row>
    <row r="26" customFormat="false" ht="15" hidden="false" customHeight="false" outlineLevel="0" collapsed="false">
      <c r="A26" s="5" t="s">
        <v>94</v>
      </c>
      <c r="F26" s="27" t="n">
        <v>23.9385</v>
      </c>
    </row>
    <row r="27" customFormat="false" ht="15" hidden="false" customHeight="false" outlineLevel="0" collapsed="false">
      <c r="A27" s="5" t="s">
        <v>95</v>
      </c>
      <c r="F27" s="21" t="n">
        <f aca="false">ROUND(F7-F26,2)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10" t="s">
        <v>97</v>
      </c>
      <c r="B3" s="10" t="s">
        <v>98</v>
      </c>
      <c r="C3" s="10" t="s">
        <v>99</v>
      </c>
    </row>
    <row r="4" customFormat="false" ht="15" hidden="false" customHeight="false" outlineLevel="0" collapsed="false">
      <c r="A4" s="4" t="s">
        <v>100</v>
      </c>
      <c r="B4" s="4" t="s">
        <v>101</v>
      </c>
      <c r="C4" s="28" t="s">
        <v>102</v>
      </c>
    </row>
    <row r="5" customFormat="false" ht="23.85" hidden="false" customHeight="false" outlineLevel="0" collapsed="false">
      <c r="A5" s="4" t="s">
        <v>103</v>
      </c>
      <c r="B5" s="4" t="s">
        <v>104</v>
      </c>
      <c r="C5" s="28" t="s">
        <v>105</v>
      </c>
    </row>
    <row r="6" customFormat="false" ht="15" hidden="false" customHeight="false" outlineLevel="0" collapsed="false">
      <c r="A6" s="4" t="s">
        <v>106</v>
      </c>
      <c r="B6" s="4" t="s">
        <v>107</v>
      </c>
      <c r="C6" s="28" t="s">
        <v>108</v>
      </c>
    </row>
  </sheetData>
  <hyperlinks>
    <hyperlink ref="C4" r:id="rId1" display="https://www.cae-eco.fr/repenser-lheritage"/>
    <hyperlink ref="C5" r:id="rId2" display="https://www.jean-jaures.org/publication/face-a-la-grande-transmission-limpot-sur-les-grandes-successions/"/>
    <hyperlink ref="C6" r:id="rId3" display="https://www.legifrance.gouv.f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2026-10-22T16:15:11Z</dcterms:created>
  <dc:creator>openpyxl</dc:creator>
  <dc:description/>
  <dc:language>en-US</dc:language>
  <cp:lastModifiedBy/>
  <dcterms:modified xsi:type="dcterms:W3CDTF">2026-10-22T16:15:11Z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